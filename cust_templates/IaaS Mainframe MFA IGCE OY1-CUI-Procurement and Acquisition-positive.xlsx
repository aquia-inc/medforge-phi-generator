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l6c/Documents/"/>
    </mc:Choice>
  </mc:AlternateContent>
  <xr:revisionPtr revIDLastSave="0" documentId="8_{CA001708-4324-B54D-9752-EC502194F5FF}" xr6:coauthVersionLast="47" xr6:coauthVersionMax="47" xr10:uidLastSave="{00000000-0000-0000-0000-000000000000}"/>
  <bookViews>
    <workbookView xWindow="1180" yWindow="1960" windowWidth="28960" windowHeight="17760" xr2:uid="{00000000-000D-0000-FFFF-FFFF00000000}"/>
  </bookViews>
  <sheets>
    <sheet name="HHS IGCE" sheetId="1" r:id="rId1"/>
    <sheet name="Agile Estimator" sheetId="2" r:id="rId2"/>
  </sheets>
  <definedNames>
    <definedName name="_xlnm.Print_Area" localSheetId="0">'HHS IGCE'!$A$1:$M$41</definedName>
    <definedName name="_xlnm.Print_Titles" localSheetId="0">'HHS IGCE'!$A:$A,'HHS IGCE'!$2:$3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E13" i="1"/>
  <c r="E12" i="1"/>
  <c r="E11" i="1"/>
  <c r="E10" i="1"/>
  <c r="E9" i="1"/>
  <c r="E8" i="1"/>
  <c r="E7" i="1"/>
  <c r="T13" i="1"/>
  <c r="U13" i="1" s="1"/>
  <c r="U12" i="1"/>
  <c r="U11" i="1"/>
  <c r="U10" i="1"/>
  <c r="U9" i="1"/>
  <c r="U8" i="1"/>
  <c r="U7" i="1"/>
  <c r="U14" i="1" l="1"/>
  <c r="M7" i="1"/>
  <c r="Q7" i="1"/>
  <c r="M8" i="1"/>
  <c r="Q8" i="1"/>
  <c r="M9" i="1"/>
  <c r="Q9" i="1"/>
  <c r="M10" i="1"/>
  <c r="Q10" i="1"/>
  <c r="M11" i="1"/>
  <c r="Q11" i="1"/>
  <c r="M12" i="1"/>
  <c r="M13" i="1"/>
  <c r="Q13" i="1"/>
  <c r="M25" i="1"/>
  <c r="U15" i="1" l="1"/>
  <c r="U16" i="1" s="1"/>
  <c r="Q12" i="1"/>
  <c r="Q14" i="1" s="1"/>
  <c r="M14" i="1"/>
  <c r="M15" i="1" s="1"/>
  <c r="M16" i="1" s="1"/>
  <c r="M17" i="1" s="1"/>
  <c r="M18" i="1" s="1"/>
  <c r="G26" i="2"/>
  <c r="G25" i="2"/>
  <c r="G24" i="2"/>
  <c r="G23" i="2"/>
  <c r="G22" i="2"/>
  <c r="J21" i="2"/>
  <c r="G20" i="2"/>
  <c r="G19" i="2"/>
  <c r="U17" i="1" l="1"/>
  <c r="U18" i="1" s="1"/>
  <c r="U26" i="1" s="1"/>
  <c r="Q15" i="1"/>
  <c r="Q16" i="1" s="1"/>
  <c r="M26" i="1"/>
  <c r="M27" i="1" s="1"/>
  <c r="M28" i="1" s="1"/>
  <c r="G27" i="2"/>
  <c r="J19" i="2" s="1"/>
  <c r="J22" i="2" s="1"/>
  <c r="J23" i="2" s="1"/>
  <c r="U27" i="1" l="1"/>
  <c r="U28" i="1" s="1"/>
  <c r="Q17" i="1"/>
  <c r="Q18" i="1" s="1"/>
  <c r="Q26" i="1" s="1"/>
  <c r="M29" i="1"/>
  <c r="M30" i="1" s="1"/>
  <c r="J24" i="2"/>
  <c r="E14" i="1"/>
  <c r="H10" i="1"/>
  <c r="I10" i="1" s="1"/>
  <c r="H11" i="1"/>
  <c r="H13" i="1"/>
  <c r="E25" i="1"/>
  <c r="I25" i="1"/>
  <c r="U29" i="1" l="1"/>
  <c r="U30" i="1" s="1"/>
  <c r="Q27" i="1"/>
  <c r="Q28" i="1" s="1"/>
  <c r="I12" i="1"/>
  <c r="E15" i="1"/>
  <c r="I11" i="1"/>
  <c r="I13" i="1"/>
  <c r="Q29" i="1" l="1"/>
  <c r="Q30" i="1" s="1"/>
  <c r="I14" i="1"/>
  <c r="I15" i="1" s="1"/>
  <c r="E16" i="1"/>
  <c r="E17" i="1" s="1"/>
  <c r="I16" i="1" l="1"/>
  <c r="E18" i="1"/>
  <c r="E26" i="1" l="1"/>
  <c r="I17" i="1"/>
  <c r="I18" i="1" s="1"/>
  <c r="E28" i="1" l="1"/>
  <c r="I26" i="1"/>
  <c r="I27" i="1" s="1"/>
  <c r="E29" i="1" l="1"/>
  <c r="E30" i="1" s="1"/>
  <c r="I28" i="1"/>
  <c r="I29" i="1" l="1"/>
  <c r="I30" i="1" s="1"/>
</calcChain>
</file>

<file path=xl/sharedStrings.xml><?xml version="1.0" encoding="utf-8"?>
<sst xmlns="http://schemas.openxmlformats.org/spreadsheetml/2006/main" count="108" uniqueCount="75">
  <si>
    <t xml:space="preserve">HHS IGCE </t>
  </si>
  <si>
    <t xml:space="preserve">Detailed Price Summary: </t>
  </si>
  <si>
    <t>Note: This template can be modified based on the contract type (i.e. Firm Fixed Price, Time and Materials, and Cost Reimburesment)</t>
  </si>
  <si>
    <t>Contract Line Item Description</t>
  </si>
  <si>
    <t>Base Period - (12 Months)
Sept 18, 2023 - Sept 17, 2024</t>
  </si>
  <si>
    <t>Option Period One (12 Months) 
Sept 18, 2024 - Sept 17, 2025</t>
  </si>
  <si>
    <t>Option Period Two (12 Months) 
Sept 18, 2025 - Sept 17, 2026</t>
  </si>
  <si>
    <t>Option Period Three (12 Months) 
Sept 18, 2026 - Sept 17, 2027</t>
  </si>
  <si>
    <t>Option Period Four (12 Months) 
Sept 18, 2027 - Sept 17, 2028</t>
  </si>
  <si>
    <t>Team Labor Categories</t>
  </si>
  <si>
    <t>Quantity</t>
  </si>
  <si>
    <t>Unit</t>
  </si>
  <si>
    <t>Unit Price</t>
  </si>
  <si>
    <t>Total Price</t>
  </si>
  <si>
    <t>Year</t>
  </si>
  <si>
    <t xml:space="preserve">Line Item Subtotal </t>
  </si>
  <si>
    <t>Fringe Benefits</t>
  </si>
  <si>
    <t>Subtotal Line Item &amp; Fringe</t>
  </si>
  <si>
    <t>Overhead</t>
  </si>
  <si>
    <t>Subtotal Line Items, Fringe and Overhead</t>
  </si>
  <si>
    <t>ODC's</t>
  </si>
  <si>
    <t>Travel</t>
  </si>
  <si>
    <t xml:space="preserve">Subcontracts </t>
  </si>
  <si>
    <t>Consultants</t>
  </si>
  <si>
    <t>Materials</t>
  </si>
  <si>
    <t>CDs</t>
  </si>
  <si>
    <t>Subtotal ODCs</t>
  </si>
  <si>
    <t>Subtotal - All Costs</t>
  </si>
  <si>
    <t>G&amp;A</t>
  </si>
  <si>
    <t>Total Cost</t>
  </si>
  <si>
    <t>Fee/Profit</t>
  </si>
  <si>
    <t xml:space="preserve">Total Estimated Values </t>
  </si>
  <si>
    <t xml:space="preserve">Base Period </t>
  </si>
  <si>
    <t>Option Period 1</t>
  </si>
  <si>
    <t>Option Period 2</t>
  </si>
  <si>
    <t>Option Period 3</t>
  </si>
  <si>
    <t>Option Period 4</t>
  </si>
  <si>
    <t>TOTAL ESTIMATED VALUE OF CONTRACT</t>
  </si>
  <si>
    <t>Assumptions:</t>
  </si>
  <si>
    <t>Percent</t>
  </si>
  <si>
    <t>Inflation Rate Per Year</t>
  </si>
  <si>
    <t>Fringe Benefits Rate</t>
  </si>
  <si>
    <t>Overhead Rate</t>
  </si>
  <si>
    <t>G&amp;A Rate</t>
  </si>
  <si>
    <t>Fee/Profit Percentage</t>
  </si>
  <si>
    <t>Iteration: Scrum Sprint</t>
  </si>
  <si>
    <t>Factor</t>
  </si>
  <si>
    <r>
      <rPr>
        <b/>
        <u/>
        <sz val="12"/>
        <color indexed="8"/>
        <rFont val="Times New Roman"/>
        <family val="1"/>
      </rPr>
      <t>Labor Category</t>
    </r>
  </si>
  <si>
    <t>Hr Rate</t>
  </si>
  <si>
    <t>Hrs per Iteration</t>
  </si>
  <si>
    <t>Price</t>
  </si>
  <si>
    <t xml:space="preserve">Size of Team  </t>
  </si>
  <si>
    <t>Dir Program</t>
  </si>
  <si>
    <t>Team Price</t>
  </si>
  <si>
    <t># of Teams</t>
  </si>
  <si>
    <t>Mgr Program Sr</t>
  </si>
  <si>
    <t>Types of Iterations</t>
  </si>
  <si>
    <t>Development</t>
  </si>
  <si>
    <t>Total Iterations Required</t>
  </si>
  <si>
    <t>Weeks per Iteration</t>
  </si>
  <si>
    <t>Scrum Master</t>
  </si>
  <si>
    <t>Price Estimate</t>
  </si>
  <si>
    <t>Period of Performance</t>
  </si>
  <si>
    <t>Business Analyst (1)</t>
  </si>
  <si>
    <t>Fee Estimate</t>
  </si>
  <si>
    <t>Fee Percentage</t>
  </si>
  <si>
    <t>Developer -Level 1 (1)</t>
  </si>
  <si>
    <t xml:space="preserve">Total Price </t>
  </si>
  <si>
    <t>Technical Architect/Sr. Developer</t>
  </si>
  <si>
    <t>Designer</t>
  </si>
  <si>
    <t>* Use the Contractor-Awarded Labor Category (CALC) to find labor categories and rates</t>
  </si>
  <si>
    <t>PROJECT TITLE:  Mainframe Multifactor Authentication for Privileged Users</t>
  </si>
  <si>
    <r>
      <rPr>
        <sz val="12"/>
        <color rgb="FFFF0000"/>
        <rFont val="Times New Roman"/>
        <family val="1"/>
      </rPr>
      <t>CLIN TBD</t>
    </r>
    <r>
      <rPr>
        <sz val="12"/>
        <rFont val="Times New Roman"/>
        <family val="1"/>
      </rPr>
      <t xml:space="preserve"> - 3270 Emulator</t>
    </r>
  </si>
  <si>
    <r>
      <rPr>
        <sz val="12"/>
        <color rgb="FFFF0000"/>
        <rFont val="Times New Roman"/>
        <family val="1"/>
      </rPr>
      <t>CLIN TBD</t>
    </r>
    <r>
      <rPr>
        <sz val="12"/>
        <rFont val="Times New Roman"/>
        <family val="1"/>
      </rPr>
      <t xml:space="preserve"> - DUO MFA Service</t>
    </r>
  </si>
  <si>
    <r>
      <rPr>
        <sz val="12"/>
        <color rgb="FFFF0000"/>
        <rFont val="Times New Roman"/>
        <family val="1"/>
      </rPr>
      <t>CLIN TBD</t>
    </r>
    <r>
      <rPr>
        <sz val="12"/>
        <rFont val="Times New Roman"/>
        <family val="1"/>
      </rPr>
      <t xml:space="preserve"> - IBM Z-MFA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</si>
</sst>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"/>
  </numFmts>
  <fonts count="14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u/>
      <sz val="10"/>
      <color theme="10"/>
      <name val="Helvetica"/>
      <family val="2"/>
    </font>
    <font>
      <b/>
      <u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u/>
      <sz val="12"/>
      <color theme="10"/>
      <name val="Times New Roman"/>
      <family val="1"/>
    </font>
    <font>
      <b/>
      <u/>
      <sz val="12"/>
      <name val="Times New Roman"/>
      <family val="1"/>
    </font>
    <font>
      <b/>
      <u val="singleAccounting"/>
      <sz val="12"/>
      <name val="Times New Roman"/>
      <family val="1"/>
    </font>
    <font>
      <sz val="12"/>
      <color rgb="FF00B050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 wrapText="1"/>
    </xf>
  </cellStyleXfs>
  <cellXfs count="93">
    <xf numFmtId="0" fontId="0" fillId="0" borderId="0" xfId="0"/>
    <xf numFmtId="0" fontId="2" fillId="0" borderId="0" xfId="0" applyFont="1"/>
    <xf numFmtId="44" fontId="2" fillId="0" borderId="0" xfId="2" applyFont="1" applyBorder="1"/>
    <xf numFmtId="164" fontId="2" fillId="0" borderId="0" xfId="1" applyNumberFormat="1" applyFont="1" applyBorder="1"/>
    <xf numFmtId="0" fontId="3" fillId="0" borderId="0" xfId="0" applyFont="1" applyAlignment="1">
      <alignment horizontal="center"/>
    </xf>
    <xf numFmtId="43" fontId="2" fillId="0" borderId="0" xfId="1" applyFont="1" applyBorder="1"/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44" fontId="2" fillId="0" borderId="4" xfId="2" applyFont="1" applyBorder="1" applyProtection="1">
      <protection locked="0"/>
    </xf>
    <xf numFmtId="0" fontId="8" fillId="0" borderId="0" xfId="4" applyNumberFormat="1" applyFont="1" applyBorder="1" applyAlignment="1">
      <alignment vertical="top"/>
    </xf>
    <xf numFmtId="0" fontId="8" fillId="0" borderId="0" xfId="4" applyFont="1" applyBorder="1" applyAlignment="1">
      <alignment vertical="top"/>
    </xf>
    <xf numFmtId="0" fontId="8" fillId="0" borderId="0" xfId="4" applyFont="1" applyBorder="1" applyAlignment="1">
      <alignment vertical="top" wrapText="1"/>
    </xf>
    <xf numFmtId="49" fontId="5" fillId="8" borderId="17" xfId="0" applyNumberFormat="1" applyFont="1" applyFill="1" applyBorder="1" applyAlignment="1">
      <alignment horizontal="left" vertical="top" wrapText="1"/>
    </xf>
    <xf numFmtId="49" fontId="7" fillId="8" borderId="17" xfId="0" applyNumberFormat="1" applyFont="1" applyFill="1" applyBorder="1" applyAlignment="1">
      <alignment horizontal="left" vertical="top" wrapText="1"/>
    </xf>
    <xf numFmtId="0" fontId="7" fillId="9" borderId="17" xfId="0" applyFont="1" applyFill="1" applyBorder="1" applyAlignment="1">
      <alignment horizontal="left" vertical="top" wrapText="1"/>
    </xf>
    <xf numFmtId="9" fontId="7" fillId="9" borderId="17" xfId="0" applyNumberFormat="1" applyFont="1" applyFill="1" applyBorder="1" applyAlignment="1">
      <alignment horizontal="left" vertical="top" wrapText="1"/>
    </xf>
    <xf numFmtId="49" fontId="6" fillId="8" borderId="17" xfId="0" applyNumberFormat="1" applyFont="1" applyFill="1" applyBorder="1" applyAlignment="1">
      <alignment horizontal="left" vertical="top" wrapText="1"/>
    </xf>
    <xf numFmtId="0" fontId="7" fillId="8" borderId="17" xfId="0" applyFont="1" applyFill="1" applyBorder="1" applyAlignment="1">
      <alignment horizontal="left" vertical="top" wrapText="1"/>
    </xf>
    <xf numFmtId="44" fontId="2" fillId="0" borderId="17" xfId="2" applyFont="1" applyBorder="1" applyProtection="1">
      <protection locked="0"/>
    </xf>
    <xf numFmtId="0" fontId="7" fillId="9" borderId="17" xfId="0" applyFont="1" applyFill="1" applyBorder="1" applyAlignment="1">
      <alignment horizontal="center" vertical="top" wrapText="1"/>
    </xf>
    <xf numFmtId="44" fontId="7" fillId="9" borderId="17" xfId="0" applyNumberFormat="1" applyFont="1" applyFill="1" applyBorder="1" applyAlignment="1">
      <alignment horizontal="left" vertical="top" wrapText="1"/>
    </xf>
    <xf numFmtId="166" fontId="7" fillId="9" borderId="17" xfId="0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49" fontId="5" fillId="8" borderId="17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3" fillId="0" borderId="15" xfId="0" applyFont="1" applyBorder="1" applyAlignment="1">
      <alignment horizontal="left" wrapText="1"/>
    </xf>
    <xf numFmtId="0" fontId="9" fillId="0" borderId="0" xfId="0" applyFont="1"/>
    <xf numFmtId="43" fontId="2" fillId="0" borderId="0" xfId="0" applyNumberFormat="1" applyFont="1"/>
    <xf numFmtId="0" fontId="3" fillId="0" borderId="0" xfId="0" applyFont="1"/>
    <xf numFmtId="2" fontId="2" fillId="0" borderId="0" xfId="0" applyNumberFormat="1" applyFont="1"/>
    <xf numFmtId="0" fontId="2" fillId="0" borderId="0" xfId="0" quotePrefix="1" applyFont="1" applyAlignment="1">
      <alignment horizontal="left" wrapText="1"/>
    </xf>
    <xf numFmtId="9" fontId="2" fillId="0" borderId="0" xfId="3" applyFont="1" applyBorder="1"/>
    <xf numFmtId="0" fontId="3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44" fontId="3" fillId="0" borderId="0" xfId="2" applyFont="1" applyBorder="1"/>
    <xf numFmtId="44" fontId="3" fillId="0" borderId="0" xfId="2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4" xfId="0" applyFont="1" applyBorder="1" applyAlignment="1">
      <alignment horizontal="center"/>
    </xf>
    <xf numFmtId="2" fontId="2" fillId="0" borderId="4" xfId="2" applyNumberFormat="1" applyFont="1" applyBorder="1"/>
    <xf numFmtId="49" fontId="2" fillId="0" borderId="4" xfId="0" applyNumberFormat="1" applyFont="1" applyBorder="1" applyAlignment="1" applyProtection="1">
      <alignment horizontal="center"/>
      <protection locked="0"/>
    </xf>
    <xf numFmtId="44" fontId="3" fillId="3" borderId="4" xfId="2" applyFont="1" applyFill="1" applyBorder="1"/>
    <xf numFmtId="2" fontId="2" fillId="2" borderId="4" xfId="2" applyNumberFormat="1" applyFont="1" applyFill="1" applyBorder="1"/>
    <xf numFmtId="40" fontId="2" fillId="2" borderId="4" xfId="2" applyNumberFormat="1" applyFont="1" applyFill="1" applyBorder="1"/>
    <xf numFmtId="2" fontId="2" fillId="2" borderId="4" xfId="0" applyNumberFormat="1" applyFont="1" applyFill="1" applyBorder="1" applyAlignment="1" applyProtection="1">
      <alignment horizontal="center"/>
      <protection locked="0"/>
    </xf>
    <xf numFmtId="44" fontId="2" fillId="2" borderId="4" xfId="2" applyFont="1" applyFill="1" applyBorder="1" applyProtection="1">
      <protection locked="0"/>
    </xf>
    <xf numFmtId="49" fontId="2" fillId="0" borderId="2" xfId="0" applyNumberFormat="1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>
      <alignment wrapText="1"/>
    </xf>
    <xf numFmtId="0" fontId="2" fillId="6" borderId="4" xfId="0" applyFont="1" applyFill="1" applyBorder="1"/>
    <xf numFmtId="164" fontId="2" fillId="6" borderId="4" xfId="1" applyNumberFormat="1" applyFont="1" applyFill="1" applyBorder="1"/>
    <xf numFmtId="0" fontId="2" fillId="2" borderId="4" xfId="0" applyFont="1" applyFill="1" applyBorder="1"/>
    <xf numFmtId="9" fontId="2" fillId="2" borderId="4" xfId="3" applyFont="1" applyFill="1" applyBorder="1"/>
    <xf numFmtId="44" fontId="3" fillId="3" borderId="4" xfId="0" applyNumberFormat="1" applyFont="1" applyFill="1" applyBorder="1"/>
    <xf numFmtId="0" fontId="2" fillId="0" borderId="4" xfId="0" applyFont="1" applyBorder="1"/>
    <xf numFmtId="0" fontId="2" fillId="0" borderId="16" xfId="0" applyFont="1" applyBorder="1" applyAlignment="1">
      <alignment vertical="center" wrapText="1"/>
    </xf>
    <xf numFmtId="44" fontId="3" fillId="3" borderId="4" xfId="3" applyNumberFormat="1" applyFont="1" applyFill="1" applyBorder="1"/>
    <xf numFmtId="9" fontId="2" fillId="6" borderId="4" xfId="3" applyFont="1" applyFill="1" applyBorder="1"/>
    <xf numFmtId="0" fontId="2" fillId="0" borderId="0" xfId="0" applyFont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9" fontId="2" fillId="0" borderId="4" xfId="3" applyFont="1" applyBorder="1" applyProtection="1">
      <protection locked="0"/>
    </xf>
    <xf numFmtId="0" fontId="2" fillId="0" borderId="4" xfId="0" applyFont="1" applyBorder="1" applyProtection="1">
      <protection locked="0"/>
    </xf>
    <xf numFmtId="44" fontId="3" fillId="3" borderId="4" xfId="0" applyNumberFormat="1" applyFont="1" applyFill="1" applyBorder="1" applyProtection="1">
      <protection locked="0"/>
    </xf>
    <xf numFmtId="44" fontId="3" fillId="3" borderId="4" xfId="2" applyFont="1" applyFill="1" applyBorder="1" applyProtection="1">
      <protection locked="0"/>
    </xf>
    <xf numFmtId="0" fontId="2" fillId="2" borderId="4" xfId="0" applyFont="1" applyFill="1" applyBorder="1" applyProtection="1">
      <protection locked="0"/>
    </xf>
    <xf numFmtId="165" fontId="3" fillId="3" borderId="4" xfId="2" applyNumberFormat="1" applyFont="1" applyFill="1" applyBorder="1" applyProtection="1">
      <protection locked="0"/>
    </xf>
    <xf numFmtId="164" fontId="2" fillId="2" borderId="4" xfId="1" applyNumberFormat="1" applyFont="1" applyFill="1" applyBorder="1" applyProtection="1">
      <protection locked="0"/>
    </xf>
    <xf numFmtId="165" fontId="3" fillId="3" borderId="4" xfId="2" applyNumberFormat="1" applyFont="1" applyFill="1" applyBorder="1"/>
    <xf numFmtId="0" fontId="3" fillId="0" borderId="16" xfId="0" applyFont="1" applyBorder="1" applyAlignment="1">
      <alignment wrapText="1"/>
    </xf>
    <xf numFmtId="44" fontId="3" fillId="10" borderId="4" xfId="0" applyNumberFormat="1" applyFont="1" applyFill="1" applyBorder="1"/>
    <xf numFmtId="0" fontId="2" fillId="10" borderId="4" xfId="0" applyFont="1" applyFill="1" applyBorder="1"/>
    <xf numFmtId="44" fontId="3" fillId="10" borderId="4" xfId="2" applyFont="1" applyFill="1" applyBorder="1"/>
    <xf numFmtId="0" fontId="3" fillId="0" borderId="14" xfId="0" applyFont="1" applyBorder="1" applyAlignment="1">
      <alignment wrapText="1"/>
    </xf>
    <xf numFmtId="0" fontId="3" fillId="0" borderId="13" xfId="0" applyFont="1" applyBorder="1"/>
    <xf numFmtId="0" fontId="3" fillId="5" borderId="11" xfId="0" applyFont="1" applyFill="1" applyBorder="1" applyAlignment="1">
      <alignment wrapText="1"/>
    </xf>
    <xf numFmtId="10" fontId="3" fillId="5" borderId="8" xfId="0" applyNumberFormat="1" applyFont="1" applyFill="1" applyBorder="1"/>
    <xf numFmtId="0" fontId="3" fillId="5" borderId="5" xfId="0" applyFont="1" applyFill="1" applyBorder="1" applyAlignment="1">
      <alignment wrapText="1"/>
    </xf>
    <xf numFmtId="10" fontId="3" fillId="5" borderId="9" xfId="1" applyNumberFormat="1" applyFont="1" applyFill="1" applyBorder="1"/>
    <xf numFmtId="10" fontId="3" fillId="5" borderId="9" xfId="0" applyNumberFormat="1" applyFont="1" applyFill="1" applyBorder="1"/>
    <xf numFmtId="0" fontId="3" fillId="5" borderId="12" xfId="0" applyFont="1" applyFill="1" applyBorder="1" applyAlignment="1">
      <alignment wrapText="1"/>
    </xf>
    <xf numFmtId="10" fontId="3" fillId="5" borderId="10" xfId="2" applyNumberFormat="1" applyFont="1" applyFill="1" applyBorder="1"/>
    <xf numFmtId="0" fontId="11" fillId="4" borderId="4" xfId="0" applyFont="1" applyFill="1" applyBorder="1"/>
    <xf numFmtId="0" fontId="2" fillId="4" borderId="4" xfId="0" applyFont="1" applyFill="1" applyBorder="1"/>
    <xf numFmtId="0" fontId="12" fillId="0" borderId="0" xfId="0" applyFont="1"/>
    <xf numFmtId="44" fontId="2" fillId="0" borderId="0" xfId="0" applyNumberFormat="1" applyFont="1"/>
    <xf numFmtId="49" fontId="2" fillId="0" borderId="2" xfId="0" applyNumberFormat="1" applyFont="1" applyBorder="1" applyAlignment="1">
      <alignment horizontal="left" vertical="center" wrapText="1"/>
    </xf>
    <xf numFmtId="40" fontId="2" fillId="2" borderId="4" xfId="2" applyNumberFormat="1" applyFont="1" applyFill="1" applyBorder="1" applyAlignment="1"/>
    <xf numFmtId="44" fontId="10" fillId="4" borderId="18" xfId="2" applyFont="1" applyFill="1" applyBorder="1" applyAlignment="1">
      <alignment horizontal="left"/>
    </xf>
    <xf numFmtId="44" fontId="10" fillId="4" borderId="1" xfId="2" applyFont="1" applyFill="1" applyBorder="1" applyAlignment="1">
      <alignment horizontal="left"/>
    </xf>
    <xf numFmtId="44" fontId="10" fillId="4" borderId="3" xfId="2" applyFont="1" applyFill="1" applyBorder="1" applyAlignment="1">
      <alignment horizontal="left"/>
    </xf>
    <xf numFmtId="0" fontId="3" fillId="0" borderId="0" xfId="0" applyFont="1" applyAlignment="1">
      <alignment horizontal="left" wrapText="1"/>
    </xf>
    <xf numFmtId="0" fontId="3" fillId="7" borderId="2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724957</xdr:colOff>
      <xdr:row>1</xdr:row>
      <xdr:rowOff>3174</xdr:rowOff>
    </xdr:from>
    <xdr:to>
      <xdr:col>6</xdr:col>
      <xdr:colOff>400049</xdr:colOff>
      <xdr:row>4</xdr:row>
      <xdr:rowOff>66674</xdr:rowOff>
    </xdr:to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649132" y="203199"/>
          <a:ext cx="6123517" cy="663575"/>
        </a:xfrm>
        <a:prstGeom prst="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extLst>
          <a:ext uri="{C572A759-6A51-4108-AA02-DFA0A04FC94B}">
            <ma14:wrappingTextBoxFlag xmlns:ma14="http://schemas.microsoft.com/office/mac/drawingml/2011/main" xmlns:r="http://schemas.openxmlformats.org/officeDocument/2006/relationships" xmlns="" val="1"/>
          </a:ext>
        </a:extLst>
      </xdr:spPr>
      <xdr:txBody>
        <a:bodyPr wrap="none" lIns="50800" tIns="50800" rIns="50800" bIns="50800" numCol="1" anchor="t">
          <a:noAutofit/>
        </a:bodyPr>
        <a:lstStyle/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31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defRPr>
          </a:pPr>
          <a:r>
            <a:rPr sz="31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rPr>
            <a:t>Agile Estimator</a:t>
          </a:r>
        </a:p>
      </xdr:txBody>
    </xdr:sp>
    <xdr:clientData/>
  </xdr:twoCellAnchor>
  <xdr:twoCellAnchor>
    <xdr:from>
      <xdr:col>1</xdr:col>
      <xdr:colOff>470959</xdr:colOff>
      <xdr:row>4</xdr:row>
      <xdr:rowOff>153458</xdr:rowOff>
    </xdr:from>
    <xdr:to>
      <xdr:col>7</xdr:col>
      <xdr:colOff>600075</xdr:colOff>
      <xdr:row>13</xdr:row>
      <xdr:rowOff>84028</xdr:rowOff>
    </xdr:to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214034" y="953558"/>
          <a:ext cx="8673041" cy="1730795"/>
        </a:xfrm>
        <a:prstGeom prst="rect">
          <a:avLst/>
        </a:prstGeom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extLst>
          <a:ext uri="{C572A759-6A51-4108-AA02-DFA0A04FC94B}">
            <ma14:wrappingTextBoxFlag xmlns:ma14="http://schemas.microsoft.com/office/mac/drawingml/2011/main" xmlns:r="http://schemas.openxmlformats.org/officeDocument/2006/relationships" xmlns="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defRPr>
          </a:pPr>
          <a:endParaRPr sz="1200" b="0" i="0" u="none" strike="noStrike" cap="none" spc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3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sng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defRPr>
          </a:pPr>
          <a:r>
            <a:rPr sz="2000" b="0" i="0" u="sng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rPr>
            <a:t>Agile Factors</a:t>
          </a:r>
        </a:p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defRPr>
          </a:pPr>
          <a:r>
            <a:rPr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rPr>
            <a:t>Size of Team: Range </a:t>
          </a:r>
          <a:r>
            <a:rPr lang="en-US"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rPr>
            <a:t>5</a:t>
          </a:r>
          <a:r>
            <a:rPr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rPr>
            <a:t>-12 Full-Time Employees (FTE)</a:t>
          </a:r>
        </a:p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defRPr>
          </a:pPr>
          <a:r>
            <a:rPr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rPr>
            <a:t># of Teams*: </a:t>
          </a:r>
          <a:r>
            <a:rPr lang="en-US"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rPr>
            <a:t>1</a:t>
          </a:r>
          <a:endParaRPr sz="1200" b="0" i="0" u="none" strike="noStrike" cap="none" spc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3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defRPr>
          </a:pPr>
          <a:r>
            <a:rPr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rPr>
            <a:t>Type of Iterations included: Development, Discovery, Envisioning, Hybrid</a:t>
          </a:r>
        </a:p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defRPr>
          </a:pPr>
          <a:r>
            <a:rPr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rPr>
            <a:t>Weeks </a:t>
          </a:r>
          <a:r>
            <a:rPr lang="en-US"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rPr>
            <a:t>per</a:t>
          </a:r>
          <a:r>
            <a:rPr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rPr>
            <a:t> Iteration: </a:t>
          </a:r>
          <a:r>
            <a:rPr lang="en-US"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rPr>
            <a:t> 2</a:t>
          </a:r>
          <a:r>
            <a:rPr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rPr>
            <a:t> weeks</a:t>
          </a:r>
        </a:p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defRPr>
          </a:pPr>
          <a:r>
            <a:rPr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rPr>
            <a:t>Period of Performance: </a:t>
          </a:r>
          <a:r>
            <a:rPr lang="en-US"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rPr>
            <a:t>3-6 </a:t>
          </a:r>
          <a:r>
            <a:rPr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rPr>
            <a:t>months</a:t>
          </a:r>
        </a:p>
        <a:p>
          <a:pPr marL="0" marR="0" indent="0" algn="ctr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defRPr>
          </a:pPr>
          <a:r>
            <a:rPr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rPr>
            <a:t>Incentives: </a:t>
          </a:r>
          <a:r>
            <a:rPr lang="en-US" sz="1200" b="0" i="0" u="none" strike="noStrike" cap="none" spc="0" baseline="0">
              <a:ln>
                <a:noFill/>
              </a:ln>
              <a:solidFill>
                <a:srgbClr val="FFFFFF"/>
              </a:solidFill>
              <a:effectLst>
                <a:outerShdw blurRad="25400" dist="23998" dir="2700000" rotWithShape="0">
                  <a:srgbClr val="000000">
                    <a:alpha val="31033"/>
                  </a:srgbClr>
                </a:outerShdw>
              </a:effectLst>
              <a:uFillTx/>
              <a:latin typeface="+mn-lt"/>
              <a:ea typeface="+mn-ea"/>
              <a:cs typeface="+mn-cs"/>
              <a:sym typeface="Helvetica"/>
            </a:rPr>
            <a:t>Option Period, Performance Based</a:t>
          </a:r>
          <a:endParaRPr sz="1200" b="0" i="0" u="none" strike="noStrike" cap="none" spc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3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>
    <xdr:from>
      <xdr:col>0</xdr:col>
      <xdr:colOff>333375</xdr:colOff>
      <xdr:row>15</xdr:row>
      <xdr:rowOff>28575</xdr:rowOff>
    </xdr:from>
    <xdr:to>
      <xdr:col>1</xdr:col>
      <xdr:colOff>57150</xdr:colOff>
      <xdr:row>16</xdr:row>
      <xdr:rowOff>103369</xdr:rowOff>
    </xdr:to>
    <xdr:sp macro="" textlink="">
      <xdr:nvSpPr>
        <xdr:cNvPr id="9" name="Shape 2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33375" y="3028950"/>
          <a:ext cx="1466850" cy="274819"/>
        </a:xfrm>
        <a:prstGeom prst="rect">
          <a:avLst/>
        </a:prstGeom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extLst>
          <a:ext uri="{C572A759-6A51-4108-AA02-DFA0A04FC94B}">
            <ma14:wrappingTextBoxFlag xmlns:ma14="http://schemas.microsoft.com/office/mac/drawingml/2011/main" xmlns:r="http://schemas.openxmlformats.org/officeDocument/2006/relationships" xmlns="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"/>
            </a:defRPr>
          </a:pPr>
          <a:r>
            <a:rPr lang="en-US"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"/>
            </a:rPr>
            <a:t>Iteration Planner</a:t>
          </a:r>
          <a:endParaRPr sz="1100" b="0" i="0" u="none" strike="noStrike" cap="none" spc="0" baseline="0">
            <a:ln>
              <a:noFill/>
            </a:ln>
            <a:solidFill>
              <a:srgbClr val="000000"/>
            </a:solidFill>
            <a:uFillTx/>
            <a:latin typeface="+mn-lt"/>
            <a:ea typeface="+mn-ea"/>
            <a:cs typeface="+mn-cs"/>
            <a:sym typeface="Helvetica"/>
          </a:endParaRPr>
        </a:p>
      </xdr:txBody>
    </xdr:sp>
    <xdr:clientData/>
  </xdr:twoCellAnchor>
  <xdr:twoCellAnchor>
    <xdr:from>
      <xdr:col>3</xdr:col>
      <xdr:colOff>3124200</xdr:colOff>
      <xdr:row>15</xdr:row>
      <xdr:rowOff>28576</xdr:rowOff>
    </xdr:from>
    <xdr:to>
      <xdr:col>3</xdr:col>
      <xdr:colOff>4305300</xdr:colOff>
      <xdr:row>16</xdr:row>
      <xdr:rowOff>95250</xdr:rowOff>
    </xdr:to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6048375" y="3028951"/>
          <a:ext cx="1181100" cy="266699"/>
        </a:xfrm>
        <a:prstGeom prst="rect">
          <a:avLst/>
        </a:prstGeom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extLst>
          <a:ext uri="{C572A759-6A51-4108-AA02-DFA0A04FC94B}">
            <ma14:wrappingTextBoxFlag xmlns:ma14="http://schemas.microsoft.com/office/mac/drawingml/2011/main" xmlns:r="http://schemas.openxmlformats.org/officeDocument/2006/relationships" xmlns="" val="1"/>
          </a:ext>
        </a:extLst>
      </xdr:spPr>
      <xdr:txBody>
        <a:bodyPr wrap="square" lIns="50800" tIns="50800" rIns="50800" bIns="50800" numCol="1" anchor="t">
          <a:no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"/>
            </a:rPr>
            <a:t>Team Planner</a:t>
          </a:r>
        </a:p>
      </xdr:txBody>
    </xdr:sp>
    <xdr:clientData/>
  </xdr:twoCellAnchor>
  <xdr:twoCellAnchor>
    <xdr:from>
      <xdr:col>8</xdr:col>
      <xdr:colOff>285750</xdr:colOff>
      <xdr:row>15</xdr:row>
      <xdr:rowOff>38100</xdr:rowOff>
    </xdr:from>
    <xdr:to>
      <xdr:col>9</xdr:col>
      <xdr:colOff>766757</xdr:colOff>
      <xdr:row>16</xdr:row>
      <xdr:rowOff>74316</xdr:rowOff>
    </xdr:to>
    <xdr:sp macro="" textlink="">
      <xdr:nvSpPr>
        <xdr:cNvPr id="11" name="Shape 6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1125200" y="3209925"/>
          <a:ext cx="1566857" cy="264816"/>
        </a:xfrm>
        <a:prstGeom prst="rect">
          <a:avLst/>
        </a:prstGeom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extLst>
          <a:ext uri="{C572A759-6A51-4108-AA02-DFA0A04FC94B}">
            <ma14:wrappingTextBoxFlag xmlns:ma14="http://schemas.microsoft.com/office/mac/drawingml/2011/main" xmlns:r="http://schemas.openxmlformats.org/officeDocument/2006/relationships" xmlns="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"/>
            </a:defRPr>
          </a:pPr>
          <a:r>
            <a:rPr sz="1100" b="0" i="0" u="none" strike="noStrike" cap="none" spc="0" baseline="0">
              <a:ln>
                <a:noFill/>
              </a:ln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"/>
            </a:rPr>
            <a:t>Government Estimate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calc.gsa.gov/" TargetMode="External"/><Relationship Id="rId1" Type="http://schemas.openxmlformats.org/officeDocument/2006/relationships/hyperlink" Target="https://calc.gsa.gov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C139"/>
  <sheetViews>
    <sheetView tabSelected="1" zoomScale="74" zoomScaleNormal="70" workbookViewId="0">
      <pane xSplit="1" topLeftCell="B1" activePane="topRight" state="frozen"/>
      <selection pane="topRight" activeCell="A3" sqref="A3"/>
    </sheetView>
  </sheetViews>
  <sheetFormatPr baseColWidth="10" defaultColWidth="0" defaultRowHeight="16" x14ac:dyDescent="0.2"/>
  <cols>
    <col min="1" max="1" width="78" style="6" bestFit="1" customWidth="1"/>
    <col min="2" max="2" width="21.83203125" style="1" customWidth="1"/>
    <col min="3" max="3" width="12.83203125" style="1" customWidth="1"/>
    <col min="4" max="4" width="18.83203125" style="1" bestFit="1" customWidth="1"/>
    <col min="5" max="5" width="21.1640625" style="1" customWidth="1"/>
    <col min="6" max="6" width="17.1640625" style="1" customWidth="1"/>
    <col min="7" max="7" width="13.1640625" style="1" customWidth="1"/>
    <col min="8" max="8" width="18.83203125" style="1" customWidth="1"/>
    <col min="9" max="9" width="21.1640625" style="1" bestFit="1" customWidth="1"/>
    <col min="10" max="11" width="11.1640625" style="1" customWidth="1"/>
    <col min="12" max="12" width="18.83203125" style="1" bestFit="1" customWidth="1"/>
    <col min="13" max="13" width="21.83203125" style="1" customWidth="1"/>
    <col min="14" max="15" width="11.1640625" style="1" customWidth="1"/>
    <col min="16" max="16" width="18.83203125" style="1" customWidth="1"/>
    <col min="17" max="17" width="27.83203125" style="1" customWidth="1"/>
    <col min="18" max="18" width="11.1640625" style="1" customWidth="1"/>
    <col min="19" max="19" width="6" style="1" customWidth="1"/>
    <col min="20" max="20" width="16.83203125" style="1" customWidth="1"/>
    <col min="21" max="21" width="27.83203125" style="1" customWidth="1"/>
    <col min="22" max="22" width="14.1640625" style="1" hidden="1"/>
    <col min="23" max="24" width="11.1640625" style="1" hidden="1"/>
    <col min="25" max="16383" width="9.1640625" style="1" hidden="1"/>
    <col min="16384" max="16384" width="18.83203125" style="1" hidden="1"/>
  </cols>
  <sheetData>
    <row r="1" spans="1:22" ht="17" x14ac:dyDescent="0.2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spans="1:22" x14ac:dyDescent="0.2">
      <c r="A2" s="82" t="s">
        <v>71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pans="1:22" x14ac:dyDescent="0.2">
      <c r="A3" s="82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1:22" ht="34.5" customHeight="1" thickBot="1" x14ac:dyDescent="0.25">
      <c r="A4" s="89" t="s">
        <v>2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</row>
    <row r="5" spans="1:22" ht="30.75" customHeight="1" x14ac:dyDescent="0.2">
      <c r="A5" s="36" t="s">
        <v>3</v>
      </c>
      <c r="B5" s="90" t="s">
        <v>4</v>
      </c>
      <c r="C5" s="91"/>
      <c r="D5" s="91"/>
      <c r="E5" s="92"/>
      <c r="F5" s="90" t="s">
        <v>5</v>
      </c>
      <c r="G5" s="91"/>
      <c r="H5" s="91"/>
      <c r="I5" s="92"/>
      <c r="J5" s="90" t="s">
        <v>6</v>
      </c>
      <c r="K5" s="91"/>
      <c r="L5" s="91"/>
      <c r="M5" s="92"/>
      <c r="N5" s="90" t="s">
        <v>7</v>
      </c>
      <c r="O5" s="91"/>
      <c r="P5" s="91"/>
      <c r="Q5" s="92"/>
      <c r="R5" s="90" t="s">
        <v>8</v>
      </c>
      <c r="S5" s="91"/>
      <c r="T5" s="91"/>
      <c r="U5" s="92"/>
    </row>
    <row r="6" spans="1:22" ht="17" x14ac:dyDescent="0.2">
      <c r="A6" s="25" t="s">
        <v>9</v>
      </c>
      <c r="B6" s="37" t="s">
        <v>10</v>
      </c>
      <c r="C6" s="37" t="s">
        <v>11</v>
      </c>
      <c r="D6" s="37" t="s">
        <v>12</v>
      </c>
      <c r="E6" s="37" t="s">
        <v>13</v>
      </c>
      <c r="F6" s="37" t="s">
        <v>10</v>
      </c>
      <c r="G6" s="37" t="s">
        <v>11</v>
      </c>
      <c r="H6" s="37" t="s">
        <v>12</v>
      </c>
      <c r="I6" s="37" t="s">
        <v>13</v>
      </c>
      <c r="J6" s="37" t="s">
        <v>10</v>
      </c>
      <c r="K6" s="37" t="s">
        <v>11</v>
      </c>
      <c r="L6" s="37" t="s">
        <v>12</v>
      </c>
      <c r="M6" s="37" t="s">
        <v>13</v>
      </c>
      <c r="N6" s="37" t="s">
        <v>10</v>
      </c>
      <c r="O6" s="37" t="s">
        <v>11</v>
      </c>
      <c r="P6" s="37" t="s">
        <v>12</v>
      </c>
      <c r="Q6" s="37" t="s">
        <v>13</v>
      </c>
      <c r="R6" s="37" t="s">
        <v>10</v>
      </c>
      <c r="S6" s="37" t="s">
        <v>11</v>
      </c>
      <c r="T6" s="37" t="s">
        <v>12</v>
      </c>
      <c r="U6" s="37" t="s">
        <v>13</v>
      </c>
      <c r="V6" s="26"/>
    </row>
    <row r="7" spans="1:22" ht="17" x14ac:dyDescent="0.2">
      <c r="A7" s="84" t="s">
        <v>74</v>
      </c>
      <c r="B7" s="38">
        <v>500</v>
      </c>
      <c r="C7" s="39" t="s">
        <v>14</v>
      </c>
      <c r="D7" s="8">
        <v>420</v>
      </c>
      <c r="E7" s="40">
        <f t="shared" ref="E7:E13" si="0">B7*D7</f>
        <v>210000</v>
      </c>
      <c r="F7" s="38">
        <v>500</v>
      </c>
      <c r="G7" s="39" t="s">
        <v>14</v>
      </c>
      <c r="H7" s="8">
        <v>90</v>
      </c>
      <c r="I7" s="40">
        <v>45000</v>
      </c>
      <c r="J7" s="38">
        <v>500</v>
      </c>
      <c r="K7" s="39" t="s">
        <v>14</v>
      </c>
      <c r="L7" s="8">
        <v>90</v>
      </c>
      <c r="M7" s="40">
        <f t="shared" ref="M7:M13" si="1">J7*L7</f>
        <v>45000</v>
      </c>
      <c r="N7" s="38">
        <v>500</v>
      </c>
      <c r="O7" s="39" t="s">
        <v>14</v>
      </c>
      <c r="P7" s="8">
        <v>90</v>
      </c>
      <c r="Q7" s="40">
        <f t="shared" ref="Q7:Q13" si="2">N7*P7</f>
        <v>45000</v>
      </c>
      <c r="R7" s="38">
        <v>500</v>
      </c>
      <c r="S7" s="39" t="s">
        <v>14</v>
      </c>
      <c r="T7" s="44">
        <v>90</v>
      </c>
      <c r="U7" s="40">
        <f t="shared" ref="U7:U13" si="3">R7*T7</f>
        <v>45000</v>
      </c>
      <c r="V7" s="27"/>
    </row>
    <row r="8" spans="1:22" ht="17" x14ac:dyDescent="0.2">
      <c r="A8" s="84" t="s">
        <v>73</v>
      </c>
      <c r="B8" s="38">
        <v>500</v>
      </c>
      <c r="C8" s="39" t="s">
        <v>14</v>
      </c>
      <c r="D8" s="8">
        <v>130</v>
      </c>
      <c r="E8" s="40">
        <f t="shared" si="0"/>
        <v>65000</v>
      </c>
      <c r="F8" s="38">
        <v>500</v>
      </c>
      <c r="G8" s="39" t="s">
        <v>14</v>
      </c>
      <c r="H8" s="8">
        <v>130</v>
      </c>
      <c r="I8" s="40">
        <v>65000</v>
      </c>
      <c r="J8" s="38">
        <v>500</v>
      </c>
      <c r="K8" s="39" t="s">
        <v>14</v>
      </c>
      <c r="L8" s="8">
        <v>130</v>
      </c>
      <c r="M8" s="40">
        <f t="shared" si="1"/>
        <v>65000</v>
      </c>
      <c r="N8" s="38">
        <v>500</v>
      </c>
      <c r="O8" s="39" t="s">
        <v>14</v>
      </c>
      <c r="P8" s="8">
        <v>130</v>
      </c>
      <c r="Q8" s="40">
        <f t="shared" si="2"/>
        <v>65000</v>
      </c>
      <c r="R8" s="38">
        <v>500</v>
      </c>
      <c r="S8" s="39" t="s">
        <v>14</v>
      </c>
      <c r="T8" s="44">
        <v>130</v>
      </c>
      <c r="U8" s="40">
        <f t="shared" si="3"/>
        <v>65000</v>
      </c>
      <c r="V8" s="27"/>
    </row>
    <row r="9" spans="1:22" ht="17" x14ac:dyDescent="0.2">
      <c r="A9" s="84" t="s">
        <v>72</v>
      </c>
      <c r="B9" s="38">
        <v>500</v>
      </c>
      <c r="C9" s="39" t="s">
        <v>14</v>
      </c>
      <c r="D9" s="8">
        <v>455</v>
      </c>
      <c r="E9" s="40">
        <f t="shared" si="0"/>
        <v>227500</v>
      </c>
      <c r="F9" s="41">
        <v>500</v>
      </c>
      <c r="G9" s="39" t="s">
        <v>14</v>
      </c>
      <c r="H9" s="8">
        <v>182</v>
      </c>
      <c r="I9" s="40">
        <v>91000</v>
      </c>
      <c r="J9" s="38">
        <v>500</v>
      </c>
      <c r="K9" s="39" t="s">
        <v>14</v>
      </c>
      <c r="L9" s="8">
        <v>182</v>
      </c>
      <c r="M9" s="40">
        <f t="shared" si="1"/>
        <v>91000</v>
      </c>
      <c r="N9" s="41">
        <v>500</v>
      </c>
      <c r="O9" s="39" t="s">
        <v>14</v>
      </c>
      <c r="P9" s="8">
        <v>182</v>
      </c>
      <c r="Q9" s="40">
        <f t="shared" si="2"/>
        <v>91000</v>
      </c>
      <c r="R9" s="85">
        <v>500</v>
      </c>
      <c r="S9" s="43" t="s">
        <v>14</v>
      </c>
      <c r="T9" s="44">
        <v>182</v>
      </c>
      <c r="U9" s="40">
        <f t="shared" si="3"/>
        <v>91000</v>
      </c>
      <c r="V9" s="27"/>
    </row>
    <row r="10" spans="1:22" x14ac:dyDescent="0.2">
      <c r="A10" s="45"/>
      <c r="B10" s="38"/>
      <c r="C10" s="39"/>
      <c r="D10" s="8"/>
      <c r="E10" s="40">
        <f t="shared" si="0"/>
        <v>0</v>
      </c>
      <c r="F10" s="41"/>
      <c r="G10" s="39"/>
      <c r="H10" s="8">
        <f>D10*(1+$B$34)</f>
        <v>0</v>
      </c>
      <c r="I10" s="40">
        <f t="shared" ref="I10:I13" si="4">F10*H10</f>
        <v>0</v>
      </c>
      <c r="J10" s="38"/>
      <c r="K10" s="39"/>
      <c r="L10" s="8"/>
      <c r="M10" s="40">
        <f t="shared" si="1"/>
        <v>0</v>
      </c>
      <c r="N10" s="41"/>
      <c r="O10" s="39"/>
      <c r="P10" s="8"/>
      <c r="Q10" s="40">
        <f t="shared" si="2"/>
        <v>0</v>
      </c>
      <c r="R10" s="42"/>
      <c r="S10" s="43"/>
      <c r="T10" s="44"/>
      <c r="U10" s="40">
        <f t="shared" si="3"/>
        <v>0</v>
      </c>
      <c r="V10" s="27"/>
    </row>
    <row r="11" spans="1:22" x14ac:dyDescent="0.2">
      <c r="A11" s="45"/>
      <c r="B11" s="38"/>
      <c r="C11" s="39"/>
      <c r="D11" s="8"/>
      <c r="E11" s="40">
        <f t="shared" si="0"/>
        <v>0</v>
      </c>
      <c r="F11" s="41"/>
      <c r="G11" s="39"/>
      <c r="H11" s="8">
        <f t="shared" ref="H11" si="5">D11*(1+$B$34)</f>
        <v>0</v>
      </c>
      <c r="I11" s="40">
        <f t="shared" si="4"/>
        <v>0</v>
      </c>
      <c r="J11" s="38"/>
      <c r="K11" s="39"/>
      <c r="L11" s="8"/>
      <c r="M11" s="40">
        <f t="shared" si="1"/>
        <v>0</v>
      </c>
      <c r="N11" s="41"/>
      <c r="O11" s="39"/>
      <c r="P11" s="8"/>
      <c r="Q11" s="40">
        <f t="shared" si="2"/>
        <v>0</v>
      </c>
      <c r="R11" s="42"/>
      <c r="S11" s="43"/>
      <c r="T11" s="44"/>
      <c r="U11" s="40">
        <f t="shared" si="3"/>
        <v>0</v>
      </c>
      <c r="V11" s="27"/>
    </row>
    <row r="12" spans="1:22" x14ac:dyDescent="0.2">
      <c r="A12" s="45"/>
      <c r="B12" s="38"/>
      <c r="C12" s="39"/>
      <c r="D12" s="8"/>
      <c r="E12" s="40">
        <f t="shared" si="0"/>
        <v>0</v>
      </c>
      <c r="F12" s="41"/>
      <c r="G12" s="39"/>
      <c r="H12" s="8"/>
      <c r="I12" s="40">
        <f t="shared" si="4"/>
        <v>0</v>
      </c>
      <c r="J12" s="38"/>
      <c r="K12" s="39"/>
      <c r="L12" s="8"/>
      <c r="M12" s="40">
        <f t="shared" si="1"/>
        <v>0</v>
      </c>
      <c r="N12" s="41"/>
      <c r="O12" s="39"/>
      <c r="P12" s="8"/>
      <c r="Q12" s="40">
        <f t="shared" si="2"/>
        <v>0</v>
      </c>
      <c r="R12" s="42"/>
      <c r="S12" s="43"/>
      <c r="T12" s="44"/>
      <c r="U12" s="40">
        <f t="shared" si="3"/>
        <v>0</v>
      </c>
      <c r="V12" s="27"/>
    </row>
    <row r="13" spans="1:22" x14ac:dyDescent="0.2">
      <c r="A13" s="45"/>
      <c r="B13" s="38"/>
      <c r="C13" s="39"/>
      <c r="D13" s="8"/>
      <c r="E13" s="40">
        <f t="shared" si="0"/>
        <v>0</v>
      </c>
      <c r="F13" s="41"/>
      <c r="G13" s="39"/>
      <c r="H13" s="8">
        <f>D13*(1+$B$34)</f>
        <v>0</v>
      </c>
      <c r="I13" s="40">
        <f t="shared" si="4"/>
        <v>0</v>
      </c>
      <c r="J13" s="38"/>
      <c r="K13" s="39"/>
      <c r="L13" s="8"/>
      <c r="M13" s="40">
        <f t="shared" si="1"/>
        <v>0</v>
      </c>
      <c r="N13" s="41"/>
      <c r="O13" s="39"/>
      <c r="P13" s="8"/>
      <c r="Q13" s="40">
        <f t="shared" si="2"/>
        <v>0</v>
      </c>
      <c r="R13" s="42"/>
      <c r="S13" s="43"/>
      <c r="T13" s="44">
        <f>L13*(1+$B$34)</f>
        <v>0</v>
      </c>
      <c r="U13" s="40">
        <f t="shared" si="3"/>
        <v>0</v>
      </c>
      <c r="V13" s="27"/>
    </row>
    <row r="14" spans="1:22" ht="18" thickBot="1" x14ac:dyDescent="0.25">
      <c r="A14" s="46" t="s">
        <v>15</v>
      </c>
      <c r="B14" s="47"/>
      <c r="C14" s="47"/>
      <c r="D14" s="47"/>
      <c r="E14" s="40">
        <f>SUM(E7:E13)</f>
        <v>502500</v>
      </c>
      <c r="F14" s="47"/>
      <c r="G14" s="47"/>
      <c r="H14" s="47"/>
      <c r="I14" s="40">
        <f>SUM(I7:I13)</f>
        <v>201000</v>
      </c>
      <c r="J14" s="47"/>
      <c r="K14" s="47"/>
      <c r="L14" s="47"/>
      <c r="M14" s="40">
        <f>SUM(M7:M11)</f>
        <v>201000</v>
      </c>
      <c r="N14" s="47"/>
      <c r="O14" s="47"/>
      <c r="P14" s="47"/>
      <c r="Q14" s="40">
        <f>SUM(Q7:Q13)</f>
        <v>201000</v>
      </c>
      <c r="R14" s="47"/>
      <c r="S14" s="47"/>
      <c r="T14" s="48"/>
      <c r="U14" s="40">
        <f>SUM(U7:U13)</f>
        <v>201000</v>
      </c>
      <c r="V14" s="27"/>
    </row>
    <row r="15" spans="1:22" ht="18" thickBot="1" x14ac:dyDescent="0.25">
      <c r="A15" s="33" t="s">
        <v>16</v>
      </c>
      <c r="B15" s="49"/>
      <c r="C15" s="49"/>
      <c r="D15" s="50"/>
      <c r="E15" s="51">
        <f>E14*$B$35</f>
        <v>0</v>
      </c>
      <c r="F15" s="49"/>
      <c r="G15" s="49"/>
      <c r="H15" s="50"/>
      <c r="I15" s="40">
        <f>I14*$B$35</f>
        <v>0</v>
      </c>
      <c r="J15" s="52"/>
      <c r="K15" s="52"/>
      <c r="L15" s="52"/>
      <c r="M15" s="40">
        <f>M14*$B$35</f>
        <v>0</v>
      </c>
      <c r="N15" s="52"/>
      <c r="O15" s="52"/>
      <c r="P15" s="52"/>
      <c r="Q15" s="40">
        <f>Q14*$B$35</f>
        <v>0</v>
      </c>
      <c r="R15" s="52"/>
      <c r="S15" s="52"/>
      <c r="T15" s="50"/>
      <c r="U15" s="40">
        <f>U14*$B$35</f>
        <v>0</v>
      </c>
    </row>
    <row r="16" spans="1:22" ht="18" thickBot="1" x14ac:dyDescent="0.25">
      <c r="A16" s="53" t="s">
        <v>17</v>
      </c>
      <c r="B16" s="47"/>
      <c r="C16" s="47"/>
      <c r="D16" s="47"/>
      <c r="E16" s="54">
        <f>SUM(E14:E15)</f>
        <v>502500</v>
      </c>
      <c r="F16" s="47"/>
      <c r="G16" s="47"/>
      <c r="H16" s="47"/>
      <c r="I16" s="40">
        <f>SUM(I14:I15)</f>
        <v>201000</v>
      </c>
      <c r="J16" s="47"/>
      <c r="K16" s="47"/>
      <c r="L16" s="47"/>
      <c r="M16" s="40">
        <f>SUM(M14:M15)</f>
        <v>201000</v>
      </c>
      <c r="N16" s="47"/>
      <c r="O16" s="47"/>
      <c r="P16" s="47"/>
      <c r="Q16" s="54">
        <f>SUM(Q14:Q15)</f>
        <v>201000</v>
      </c>
      <c r="R16" s="47"/>
      <c r="S16" s="47"/>
      <c r="T16" s="55"/>
      <c r="U16" s="54">
        <f>SUM(U14:U15)</f>
        <v>201000</v>
      </c>
    </row>
    <row r="17" spans="1:21" ht="18" thickBot="1" x14ac:dyDescent="0.25">
      <c r="A17" s="56" t="s">
        <v>18</v>
      </c>
      <c r="B17" s="47"/>
      <c r="C17" s="47"/>
      <c r="D17" s="55"/>
      <c r="E17" s="51">
        <f>E16*$B$36</f>
        <v>0</v>
      </c>
      <c r="F17" s="47"/>
      <c r="G17" s="47"/>
      <c r="H17" s="55"/>
      <c r="I17" s="40">
        <f>I16*$B$36</f>
        <v>0</v>
      </c>
      <c r="J17" s="47"/>
      <c r="K17" s="47"/>
      <c r="L17" s="47"/>
      <c r="M17" s="40">
        <f>M16*$B$36</f>
        <v>0</v>
      </c>
      <c r="N17" s="47"/>
      <c r="O17" s="47"/>
      <c r="P17" s="47"/>
      <c r="Q17" s="40">
        <f>Q16*$B$36</f>
        <v>0</v>
      </c>
      <c r="R17" s="47"/>
      <c r="S17" s="47"/>
      <c r="T17" s="55"/>
      <c r="U17" s="40">
        <f>U16*$B$36</f>
        <v>0</v>
      </c>
    </row>
    <row r="18" spans="1:21" ht="18" thickBot="1" x14ac:dyDescent="0.25">
      <c r="A18" s="53" t="s">
        <v>19</v>
      </c>
      <c r="B18" s="47"/>
      <c r="C18" s="47"/>
      <c r="D18" s="47"/>
      <c r="E18" s="54">
        <f>SUM(E16:E17)</f>
        <v>502500</v>
      </c>
      <c r="F18" s="47"/>
      <c r="G18" s="47"/>
      <c r="H18" s="47"/>
      <c r="I18" s="40">
        <f>SUM(I16:I17)</f>
        <v>201000</v>
      </c>
      <c r="J18" s="47"/>
      <c r="K18" s="47"/>
      <c r="L18" s="47"/>
      <c r="M18" s="40">
        <f>SUM(M16:M17)</f>
        <v>201000</v>
      </c>
      <c r="N18" s="47"/>
      <c r="O18" s="47"/>
      <c r="P18" s="47"/>
      <c r="Q18" s="54">
        <f>SUM(Q16:Q17)</f>
        <v>201000</v>
      </c>
      <c r="R18" s="47"/>
      <c r="S18" s="47"/>
      <c r="T18" s="55"/>
      <c r="U18" s="54">
        <f>SUM(U16:U17)</f>
        <v>201000</v>
      </c>
    </row>
    <row r="19" spans="1:21" ht="17" x14ac:dyDescent="0.2">
      <c r="A19" s="57" t="s">
        <v>20</v>
      </c>
      <c r="B19" s="55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</row>
    <row r="20" spans="1:21" ht="17" x14ac:dyDescent="0.2">
      <c r="A20" s="58" t="s">
        <v>21</v>
      </c>
      <c r="B20" s="59"/>
      <c r="C20" s="60"/>
      <c r="D20" s="60"/>
      <c r="E20" s="61">
        <v>0</v>
      </c>
      <c r="F20" s="59"/>
      <c r="G20" s="60"/>
      <c r="H20" s="60"/>
      <c r="I20" s="62">
        <v>0</v>
      </c>
      <c r="J20" s="59"/>
      <c r="K20" s="60"/>
      <c r="L20" s="60"/>
      <c r="M20" s="62">
        <v>0</v>
      </c>
      <c r="N20" s="59"/>
      <c r="O20" s="60"/>
      <c r="P20" s="60"/>
      <c r="Q20" s="62">
        <v>0</v>
      </c>
      <c r="R20" s="60"/>
      <c r="S20" s="60"/>
      <c r="T20" s="63"/>
      <c r="U20" s="62">
        <v>0</v>
      </c>
    </row>
    <row r="21" spans="1:21" ht="17" x14ac:dyDescent="0.2">
      <c r="A21" s="58" t="s">
        <v>22</v>
      </c>
      <c r="B21" s="60"/>
      <c r="C21" s="60"/>
      <c r="D21" s="60"/>
      <c r="E21" s="61">
        <v>0</v>
      </c>
      <c r="F21" s="60"/>
      <c r="G21" s="60"/>
      <c r="H21" s="60"/>
      <c r="I21" s="62">
        <v>0</v>
      </c>
      <c r="J21" s="60"/>
      <c r="K21" s="60"/>
      <c r="L21" s="60"/>
      <c r="M21" s="64">
        <v>0</v>
      </c>
      <c r="N21" s="60"/>
      <c r="O21" s="60"/>
      <c r="P21" s="60"/>
      <c r="Q21" s="62">
        <v>0</v>
      </c>
      <c r="R21" s="60"/>
      <c r="S21" s="60"/>
      <c r="T21" s="63"/>
      <c r="U21" s="62">
        <v>0</v>
      </c>
    </row>
    <row r="22" spans="1:21" ht="17" x14ac:dyDescent="0.2">
      <c r="A22" s="58" t="s">
        <v>23</v>
      </c>
      <c r="B22" s="60"/>
      <c r="C22" s="60"/>
      <c r="D22" s="60"/>
      <c r="E22" s="61">
        <v>0</v>
      </c>
      <c r="F22" s="60"/>
      <c r="G22" s="60"/>
      <c r="H22" s="60"/>
      <c r="I22" s="62">
        <v>0</v>
      </c>
      <c r="J22" s="60"/>
      <c r="K22" s="60"/>
      <c r="L22" s="60"/>
      <c r="M22" s="64">
        <v>0</v>
      </c>
      <c r="N22" s="60"/>
      <c r="O22" s="60"/>
      <c r="P22" s="60"/>
      <c r="Q22" s="62">
        <v>0</v>
      </c>
      <c r="R22" s="60"/>
      <c r="S22" s="60"/>
      <c r="T22" s="65"/>
      <c r="U22" s="62">
        <v>0</v>
      </c>
    </row>
    <row r="23" spans="1:21" ht="17" x14ac:dyDescent="0.2">
      <c r="A23" s="58" t="s">
        <v>24</v>
      </c>
      <c r="B23" s="60"/>
      <c r="C23" s="60"/>
      <c r="D23" s="60"/>
      <c r="E23" s="61">
        <v>0</v>
      </c>
      <c r="F23" s="60"/>
      <c r="G23" s="60"/>
      <c r="H23" s="60"/>
      <c r="I23" s="62">
        <v>0</v>
      </c>
      <c r="J23" s="60"/>
      <c r="K23" s="60"/>
      <c r="L23" s="60"/>
      <c r="M23" s="64">
        <v>0</v>
      </c>
      <c r="N23" s="60"/>
      <c r="O23" s="60"/>
      <c r="P23" s="60"/>
      <c r="Q23" s="62">
        <v>0</v>
      </c>
      <c r="R23" s="60"/>
      <c r="S23" s="60"/>
      <c r="T23" s="65"/>
      <c r="U23" s="62">
        <v>0</v>
      </c>
    </row>
    <row r="24" spans="1:21" ht="17" x14ac:dyDescent="0.2">
      <c r="A24" s="58" t="s">
        <v>25</v>
      </c>
      <c r="B24" s="60"/>
      <c r="C24" s="60"/>
      <c r="D24" s="60"/>
      <c r="E24" s="61">
        <v>0</v>
      </c>
      <c r="F24" s="60"/>
      <c r="G24" s="60"/>
      <c r="H24" s="60"/>
      <c r="I24" s="62">
        <v>0</v>
      </c>
      <c r="J24" s="60"/>
      <c r="K24" s="60"/>
      <c r="L24" s="60"/>
      <c r="M24" s="64">
        <v>0</v>
      </c>
      <c r="N24" s="60"/>
      <c r="O24" s="60"/>
      <c r="P24" s="60"/>
      <c r="Q24" s="62">
        <v>0</v>
      </c>
      <c r="R24" s="60"/>
      <c r="S24" s="60"/>
      <c r="T24" s="65"/>
      <c r="U24" s="62">
        <v>0</v>
      </c>
    </row>
    <row r="25" spans="1:21" ht="17" x14ac:dyDescent="0.2">
      <c r="A25" s="58" t="s">
        <v>26</v>
      </c>
      <c r="B25" s="47"/>
      <c r="C25" s="47"/>
      <c r="D25" s="47"/>
      <c r="E25" s="51">
        <f>SUM(E20:E24)</f>
        <v>0</v>
      </c>
      <c r="F25" s="47"/>
      <c r="G25" s="47"/>
      <c r="H25" s="47"/>
      <c r="I25" s="40">
        <f>I23+I24</f>
        <v>0</v>
      </c>
      <c r="J25" s="47"/>
      <c r="K25" s="47"/>
      <c r="L25" s="47"/>
      <c r="M25" s="66">
        <f>M23+M24</f>
        <v>0</v>
      </c>
      <c r="N25" s="47"/>
      <c r="O25" s="47"/>
      <c r="P25" s="47"/>
      <c r="Q25" s="62">
        <v>0</v>
      </c>
      <c r="R25" s="47"/>
      <c r="S25" s="47"/>
      <c r="T25" s="47"/>
      <c r="U25" s="62">
        <v>0</v>
      </c>
    </row>
    <row r="26" spans="1:21" ht="17" x14ac:dyDescent="0.2">
      <c r="A26" s="58" t="s">
        <v>27</v>
      </c>
      <c r="B26" s="47"/>
      <c r="C26" s="47"/>
      <c r="D26" s="47"/>
      <c r="E26" s="51">
        <f>SUM(E18+E25)</f>
        <v>502500</v>
      </c>
      <c r="F26" s="47"/>
      <c r="G26" s="47"/>
      <c r="H26" s="47"/>
      <c r="I26" s="40">
        <f>+I25+I17+I16</f>
        <v>201000</v>
      </c>
      <c r="J26" s="47"/>
      <c r="K26" s="47"/>
      <c r="L26" s="47"/>
      <c r="M26" s="40">
        <f>+M25+M17+M16</f>
        <v>201000</v>
      </c>
      <c r="N26" s="47"/>
      <c r="O26" s="47"/>
      <c r="P26" s="47"/>
      <c r="Q26" s="51">
        <f>SUM(Q18:Q25)</f>
        <v>201000</v>
      </c>
      <c r="R26" s="47"/>
      <c r="S26" s="47"/>
      <c r="T26" s="47"/>
      <c r="U26" s="51">
        <f>SUM(U18:U25)</f>
        <v>201000</v>
      </c>
    </row>
    <row r="27" spans="1:21" ht="18" thickBot="1" x14ac:dyDescent="0.25">
      <c r="A27" s="6" t="s">
        <v>28</v>
      </c>
      <c r="B27" s="52"/>
      <c r="C27" s="49"/>
      <c r="D27" s="50"/>
      <c r="E27" s="51">
        <v>0</v>
      </c>
      <c r="F27" s="52"/>
      <c r="G27" s="49"/>
      <c r="H27" s="50"/>
      <c r="I27" s="40">
        <f>I26*$B$37</f>
        <v>0</v>
      </c>
      <c r="J27" s="52"/>
      <c r="K27" s="52"/>
      <c r="L27" s="52"/>
      <c r="M27" s="40">
        <f>M26*$B$37</f>
        <v>0</v>
      </c>
      <c r="N27" s="52"/>
      <c r="O27" s="52"/>
      <c r="P27" s="52"/>
      <c r="Q27" s="40">
        <f>Q26*$B$37</f>
        <v>0</v>
      </c>
      <c r="R27" s="52"/>
      <c r="S27" s="52"/>
      <c r="T27" s="50"/>
      <c r="U27" s="40">
        <f>U26*$B$37</f>
        <v>0</v>
      </c>
    </row>
    <row r="28" spans="1:21" ht="18" thickBot="1" x14ac:dyDescent="0.25">
      <c r="A28" s="67" t="s">
        <v>29</v>
      </c>
      <c r="B28" s="47"/>
      <c r="C28" s="47"/>
      <c r="D28" s="47"/>
      <c r="E28" s="51">
        <f>SUM(E26+E27)</f>
        <v>502500</v>
      </c>
      <c r="F28" s="47"/>
      <c r="G28" s="47"/>
      <c r="H28" s="47"/>
      <c r="I28" s="40">
        <f>+I27+I26</f>
        <v>201000</v>
      </c>
      <c r="J28" s="47"/>
      <c r="K28" s="47"/>
      <c r="L28" s="47"/>
      <c r="M28" s="40">
        <f>+M27+M26</f>
        <v>201000</v>
      </c>
      <c r="N28" s="47"/>
      <c r="O28" s="47"/>
      <c r="P28" s="47"/>
      <c r="Q28" s="51">
        <f>SUM(Q26:Q27)</f>
        <v>201000</v>
      </c>
      <c r="R28" s="47"/>
      <c r="S28" s="47"/>
      <c r="T28" s="47"/>
      <c r="U28" s="51">
        <f>SUM(U26:U27)</f>
        <v>201000</v>
      </c>
    </row>
    <row r="29" spans="1:21" ht="18" thickBot="1" x14ac:dyDescent="0.25">
      <c r="A29" s="33" t="s">
        <v>30</v>
      </c>
      <c r="B29" s="47"/>
      <c r="C29" s="47"/>
      <c r="D29" s="47"/>
      <c r="E29" s="51">
        <f>E28*$B$38</f>
        <v>0</v>
      </c>
      <c r="F29" s="47"/>
      <c r="G29" s="47"/>
      <c r="H29" s="47"/>
      <c r="I29" s="40">
        <f>I28*$B$38</f>
        <v>0</v>
      </c>
      <c r="J29" s="47"/>
      <c r="K29" s="47"/>
      <c r="L29" s="47"/>
      <c r="M29" s="40">
        <f>M28*$B$38</f>
        <v>0</v>
      </c>
      <c r="N29" s="47"/>
      <c r="O29" s="47"/>
      <c r="P29" s="47"/>
      <c r="Q29" s="40">
        <f>Q28*$B$38</f>
        <v>0</v>
      </c>
      <c r="R29" s="47"/>
      <c r="S29" s="47"/>
      <c r="T29" s="47"/>
      <c r="U29" s="40">
        <f>U28*$B$38</f>
        <v>0</v>
      </c>
    </row>
    <row r="30" spans="1:21" ht="18" thickBot="1" x14ac:dyDescent="0.25">
      <c r="A30" s="67" t="s">
        <v>31</v>
      </c>
      <c r="B30" s="47"/>
      <c r="C30" s="47"/>
      <c r="D30" s="69" t="s">
        <v>32</v>
      </c>
      <c r="E30" s="68">
        <f>SUM(E28:E29)</f>
        <v>502500</v>
      </c>
      <c r="F30" s="80"/>
      <c r="G30" s="80"/>
      <c r="H30" s="69" t="s">
        <v>33</v>
      </c>
      <c r="I30" s="70">
        <f>SUM(I28:I29)</f>
        <v>201000</v>
      </c>
      <c r="J30" s="47"/>
      <c r="K30" s="47"/>
      <c r="L30" s="69" t="s">
        <v>34</v>
      </c>
      <c r="M30" s="70">
        <f>SUM(M28:M29)</f>
        <v>201000</v>
      </c>
      <c r="N30" s="81"/>
      <c r="O30" s="81"/>
      <c r="P30" s="69" t="s">
        <v>35</v>
      </c>
      <c r="Q30" s="51">
        <f>SUM(Q28:Q29)</f>
        <v>201000</v>
      </c>
      <c r="R30" s="47"/>
      <c r="S30" s="47"/>
      <c r="T30" s="69" t="s">
        <v>36</v>
      </c>
      <c r="U30" s="51">
        <f>SUM(U28:U29)</f>
        <v>201000</v>
      </c>
    </row>
    <row r="31" spans="1:21" ht="60" customHeight="1" thickBot="1" x14ac:dyDescent="0.4">
      <c r="A31" s="71" t="s">
        <v>37</v>
      </c>
      <c r="B31" s="86">
        <f>SUM(E30+I30+M30+Q30+U30)</f>
        <v>1306500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8"/>
    </row>
    <row r="33" spans="1:33" ht="17" thickBot="1" x14ac:dyDescent="0.25">
      <c r="A33" s="72" t="s">
        <v>38</v>
      </c>
      <c r="B33" s="72" t="s">
        <v>39</v>
      </c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34" spans="1:33" ht="17" x14ac:dyDescent="0.2">
      <c r="A34" s="73" t="s">
        <v>40</v>
      </c>
      <c r="B34" s="74">
        <v>0</v>
      </c>
      <c r="F34" s="83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</row>
    <row r="35" spans="1:33" ht="17" x14ac:dyDescent="0.2">
      <c r="A35" s="75" t="s">
        <v>41</v>
      </c>
      <c r="B35" s="76">
        <v>0</v>
      </c>
      <c r="V35" s="26"/>
    </row>
    <row r="36" spans="1:33" ht="17" x14ac:dyDescent="0.2">
      <c r="A36" s="75" t="s">
        <v>42</v>
      </c>
      <c r="B36" s="77">
        <v>0</v>
      </c>
      <c r="E36" s="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27"/>
    </row>
    <row r="37" spans="1:33" ht="17" x14ac:dyDescent="0.2">
      <c r="A37" s="75" t="s">
        <v>43</v>
      </c>
      <c r="B37" s="77">
        <v>0</v>
      </c>
      <c r="F37" s="5"/>
      <c r="G37" s="3"/>
      <c r="H37" s="3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27"/>
    </row>
    <row r="38" spans="1:33" ht="18" thickBot="1" x14ac:dyDescent="0.25">
      <c r="A38" s="78" t="s">
        <v>44</v>
      </c>
      <c r="B38" s="79">
        <v>0</v>
      </c>
      <c r="E38" s="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27"/>
    </row>
    <row r="39" spans="1:33" x14ac:dyDescent="0.2">
      <c r="E39" s="3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29"/>
    </row>
    <row r="40" spans="1:33" x14ac:dyDescent="0.2">
      <c r="A40" s="30"/>
      <c r="E40" s="3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33" x14ac:dyDescent="0.2">
      <c r="B41" s="31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33" x14ac:dyDescent="0.2">
      <c r="B42" s="31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33" x14ac:dyDescent="0.2"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33" x14ac:dyDescent="0.2"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33" x14ac:dyDescent="0.2">
      <c r="A45" s="30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33" x14ac:dyDescent="0.2"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33" x14ac:dyDescent="0.2"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33" x14ac:dyDescent="0.2"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x14ac:dyDescent="0.2"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x14ac:dyDescent="0.2"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x14ac:dyDescent="0.2"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x14ac:dyDescent="0.2">
      <c r="E52" s="3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">
      <c r="A53" s="3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">
      <c r="A54" s="33"/>
      <c r="E54" s="31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">
      <c r="A55" s="3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">
      <c r="A56" s="32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</row>
    <row r="57" spans="1:21" x14ac:dyDescent="0.2">
      <c r="A57" s="3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2"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"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">
      <c r="A60" s="35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">
      <c r="A61" s="32"/>
      <c r="B61" s="28"/>
      <c r="F61" s="34"/>
      <c r="G61" s="34"/>
      <c r="H61" s="34"/>
      <c r="I61" s="2"/>
      <c r="J61" s="34"/>
      <c r="K61" s="34"/>
      <c r="L61" s="34"/>
      <c r="M61" s="2"/>
      <c r="N61" s="34"/>
      <c r="O61" s="34"/>
      <c r="P61" s="34"/>
      <c r="Q61" s="2"/>
      <c r="R61" s="2"/>
      <c r="S61" s="2"/>
      <c r="T61" s="2"/>
      <c r="U61" s="2"/>
    </row>
    <row r="62" spans="1:21" x14ac:dyDescent="0.2"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"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"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6:21" x14ac:dyDescent="0.2"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6:21" x14ac:dyDescent="0.2"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6:21" x14ac:dyDescent="0.2"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6:21" x14ac:dyDescent="0.2"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6:21" x14ac:dyDescent="0.2"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6:21" x14ac:dyDescent="0.2"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6:21" x14ac:dyDescent="0.2"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6:21" x14ac:dyDescent="0.2"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6:21" x14ac:dyDescent="0.2"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6:21" x14ac:dyDescent="0.2"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6:21" x14ac:dyDescent="0.2"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6:21" x14ac:dyDescent="0.2"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6:21" x14ac:dyDescent="0.2"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6:21" x14ac:dyDescent="0.2"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6:21" x14ac:dyDescent="0.2"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6:21" x14ac:dyDescent="0.2"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6:21" x14ac:dyDescent="0.2"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6:21" x14ac:dyDescent="0.2"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6:21" x14ac:dyDescent="0.2"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6:21" x14ac:dyDescent="0.2"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6:21" x14ac:dyDescent="0.2"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6:21" x14ac:dyDescent="0.2"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6:21" x14ac:dyDescent="0.2"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6:21" x14ac:dyDescent="0.2"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6:21" x14ac:dyDescent="0.2"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6:21" x14ac:dyDescent="0.2"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6:21" x14ac:dyDescent="0.2"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6:21" x14ac:dyDescent="0.2"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6:21" x14ac:dyDescent="0.2"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6:21" x14ac:dyDescent="0.2"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6:21" x14ac:dyDescent="0.2"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6:21" x14ac:dyDescent="0.2"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6:21" x14ac:dyDescent="0.2"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6:21" x14ac:dyDescent="0.2"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6:21" x14ac:dyDescent="0.2"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6:21" x14ac:dyDescent="0.2"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6:21" x14ac:dyDescent="0.2"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6:21" x14ac:dyDescent="0.2"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6:21" x14ac:dyDescent="0.2"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6:21" x14ac:dyDescent="0.2"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6:21" x14ac:dyDescent="0.2"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6:21" x14ac:dyDescent="0.2"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6:21" x14ac:dyDescent="0.2"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6:21" x14ac:dyDescent="0.2"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6:21" x14ac:dyDescent="0.2"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6:21" x14ac:dyDescent="0.2"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6:21" x14ac:dyDescent="0.2"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6:21" x14ac:dyDescent="0.2"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6:21" x14ac:dyDescent="0.2"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6:21" x14ac:dyDescent="0.2"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6:21" x14ac:dyDescent="0.2"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6:21" x14ac:dyDescent="0.2"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6:21" x14ac:dyDescent="0.2"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6:21" x14ac:dyDescent="0.2"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6:21" x14ac:dyDescent="0.2"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6:21" x14ac:dyDescent="0.2"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6:21" x14ac:dyDescent="0.2"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6:21" x14ac:dyDescent="0.2"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6:21" x14ac:dyDescent="0.2"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6:21" x14ac:dyDescent="0.2"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6:21" x14ac:dyDescent="0.2"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6:21" x14ac:dyDescent="0.2"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6:21" x14ac:dyDescent="0.2"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6:21" x14ac:dyDescent="0.2"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6:21" x14ac:dyDescent="0.2"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6:21" x14ac:dyDescent="0.2"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6:21" x14ac:dyDescent="0.2"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6:21" x14ac:dyDescent="0.2"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6:21" x14ac:dyDescent="0.2"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6:21" x14ac:dyDescent="0.2"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6:21" x14ac:dyDescent="0.2"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6:21" x14ac:dyDescent="0.2"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6:21" x14ac:dyDescent="0.2"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6:21" x14ac:dyDescent="0.2"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6:21" x14ac:dyDescent="0.2"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</sheetData>
  <mergeCells count="6">
    <mergeCell ref="A4:U4"/>
    <mergeCell ref="B5:E5"/>
    <mergeCell ref="F5:I5"/>
    <mergeCell ref="J5:M5"/>
    <mergeCell ref="N5:Q5"/>
    <mergeCell ref="R5:U5"/>
  </mergeCells>
  <phoneticPr fontId="0" type="noConversion"/>
  <printOptions horizontalCentered="1" verticalCentered="1"/>
  <pageMargins left="0.25" right="0.25" top="0.75" bottom="0.75" header="0.3" footer="0.3"/>
  <pageSetup scale="46" orientation="landscape" r:id="rId1"/>
  <headerFooter scaleWithDoc="0" alignWithMargins="0">
    <oddFooter>&amp;L&amp;F&amp;D&amp;T</oddFooter>
  </headerFooter>
  <rowBreaks count="1" manualBreakCount="1">
    <brk id="47" max="6553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0"/>
  <sheetViews>
    <sheetView zoomScaleNormal="100" workbookViewId="0">
      <selection activeCell="G24" sqref="G24"/>
    </sheetView>
  </sheetViews>
  <sheetFormatPr baseColWidth="10" defaultColWidth="9.1640625" defaultRowHeight="16" x14ac:dyDescent="0.2"/>
  <cols>
    <col min="1" max="1" width="26.1640625" style="1" customWidth="1"/>
    <col min="2" max="2" width="8.5" style="1" bestFit="1" customWidth="1"/>
    <col min="3" max="3" width="9.1640625" style="1"/>
    <col min="4" max="4" width="75" style="1" bestFit="1" customWidth="1"/>
    <col min="5" max="5" width="13.1640625" style="1" bestFit="1" customWidth="1"/>
    <col min="6" max="6" width="14.1640625" style="1" customWidth="1"/>
    <col min="7" max="7" width="13.83203125" style="1" bestFit="1" customWidth="1"/>
    <col min="8" max="8" width="9.1640625" style="1"/>
    <col min="9" max="9" width="31.1640625" style="1" customWidth="1"/>
    <col min="10" max="10" width="14.5" style="24" customWidth="1"/>
    <col min="11" max="16384" width="9.1640625" style="1"/>
  </cols>
  <sheetData>
    <row r="1" spans="1:11" x14ac:dyDescent="0.2">
      <c r="A1" s="7"/>
      <c r="B1" s="7"/>
      <c r="C1" s="7"/>
      <c r="D1" s="7"/>
      <c r="E1" s="7"/>
      <c r="F1" s="7"/>
      <c r="G1" s="7"/>
      <c r="H1" s="7"/>
      <c r="I1" s="7"/>
      <c r="J1" s="22"/>
      <c r="K1" s="7"/>
    </row>
    <row r="2" spans="1:11" x14ac:dyDescent="0.2">
      <c r="A2" s="7"/>
      <c r="B2" s="7"/>
      <c r="C2" s="7"/>
      <c r="D2" s="7"/>
      <c r="E2" s="7"/>
      <c r="F2" s="7"/>
      <c r="G2" s="7"/>
      <c r="H2" s="7"/>
      <c r="I2" s="7"/>
      <c r="J2" s="22"/>
      <c r="K2" s="7"/>
    </row>
    <row r="3" spans="1:11" x14ac:dyDescent="0.2">
      <c r="A3" s="7"/>
      <c r="B3" s="7"/>
      <c r="C3" s="7"/>
      <c r="D3" s="7"/>
      <c r="E3" s="7"/>
      <c r="F3" s="7"/>
      <c r="G3" s="7"/>
      <c r="H3" s="7"/>
      <c r="I3" s="7"/>
      <c r="J3" s="22"/>
      <c r="K3" s="7"/>
    </row>
    <row r="4" spans="1:11" x14ac:dyDescent="0.2">
      <c r="A4" s="7"/>
      <c r="B4" s="7"/>
      <c r="C4" s="7"/>
      <c r="D4" s="7"/>
      <c r="E4" s="7"/>
      <c r="F4" s="7"/>
      <c r="G4" s="7"/>
      <c r="H4" s="7"/>
      <c r="I4" s="7"/>
      <c r="J4" s="22"/>
      <c r="K4" s="7"/>
    </row>
    <row r="5" spans="1:11" x14ac:dyDescent="0.2">
      <c r="A5" s="7"/>
      <c r="B5" s="7"/>
      <c r="C5" s="7"/>
      <c r="D5" s="7"/>
      <c r="E5" s="7"/>
      <c r="F5" s="7"/>
      <c r="G5" s="7"/>
      <c r="H5" s="7"/>
      <c r="I5" s="7"/>
      <c r="J5" s="22"/>
      <c r="K5" s="7"/>
    </row>
    <row r="6" spans="1:11" x14ac:dyDescent="0.2">
      <c r="A6" s="7"/>
      <c r="B6" s="7"/>
      <c r="C6" s="7"/>
      <c r="D6" s="7"/>
      <c r="E6" s="7"/>
      <c r="F6" s="7"/>
      <c r="G6" s="7"/>
      <c r="H6" s="7"/>
      <c r="I6" s="7"/>
      <c r="J6" s="22"/>
      <c r="K6" s="7"/>
    </row>
    <row r="7" spans="1:11" x14ac:dyDescent="0.2">
      <c r="A7" s="7"/>
      <c r="B7" s="7"/>
      <c r="C7" s="7"/>
      <c r="D7" s="7"/>
      <c r="E7" s="7"/>
      <c r="F7" s="7"/>
      <c r="G7" s="7"/>
      <c r="H7" s="7"/>
      <c r="I7" s="7"/>
      <c r="J7" s="22"/>
      <c r="K7" s="7"/>
    </row>
    <row r="8" spans="1:11" x14ac:dyDescent="0.2">
      <c r="A8" s="7"/>
      <c r="B8" s="7"/>
      <c r="C8" s="7"/>
      <c r="D8" s="7"/>
      <c r="E8" s="7"/>
      <c r="F8" s="7"/>
      <c r="G8" s="7"/>
      <c r="H8" s="7"/>
      <c r="I8" s="7"/>
      <c r="J8" s="22"/>
      <c r="K8" s="7"/>
    </row>
    <row r="9" spans="1:11" x14ac:dyDescent="0.2">
      <c r="A9" s="7"/>
      <c r="B9" s="7"/>
      <c r="C9" s="7"/>
      <c r="D9" s="7"/>
      <c r="E9" s="7"/>
      <c r="F9" s="7"/>
      <c r="G9" s="7"/>
      <c r="H9" s="7"/>
      <c r="I9" s="7"/>
      <c r="J9" s="22"/>
      <c r="K9" s="7"/>
    </row>
    <row r="10" spans="1:11" x14ac:dyDescent="0.2">
      <c r="A10" s="7"/>
      <c r="B10" s="7"/>
      <c r="C10" s="7"/>
      <c r="D10" s="7"/>
      <c r="E10" s="7"/>
      <c r="F10" s="7"/>
      <c r="G10" s="7"/>
      <c r="H10" s="7"/>
      <c r="I10" s="7"/>
      <c r="J10" s="22"/>
      <c r="K10" s="7"/>
    </row>
    <row r="11" spans="1:11" x14ac:dyDescent="0.2">
      <c r="A11" s="7"/>
      <c r="B11" s="7"/>
      <c r="C11" s="7"/>
      <c r="D11" s="7"/>
      <c r="E11" s="7"/>
      <c r="F11" s="7"/>
      <c r="G11" s="7"/>
      <c r="H11" s="7"/>
      <c r="I11" s="7"/>
      <c r="J11" s="22"/>
      <c r="K11" s="7"/>
    </row>
    <row r="12" spans="1:11" x14ac:dyDescent="0.2">
      <c r="A12" s="7"/>
      <c r="B12" s="7"/>
      <c r="C12" s="7"/>
      <c r="D12" s="7"/>
      <c r="E12" s="7"/>
      <c r="F12" s="7"/>
      <c r="G12" s="7"/>
      <c r="H12" s="7"/>
      <c r="I12" s="7"/>
      <c r="J12" s="22"/>
      <c r="K12" s="7"/>
    </row>
    <row r="13" spans="1:11" x14ac:dyDescent="0.2">
      <c r="A13" s="7"/>
      <c r="B13" s="7"/>
      <c r="C13" s="7"/>
      <c r="D13" s="7"/>
      <c r="E13" s="7"/>
      <c r="F13" s="7"/>
      <c r="G13" s="7"/>
      <c r="H13" s="7"/>
      <c r="I13" s="7"/>
      <c r="J13" s="22"/>
      <c r="K13" s="7"/>
    </row>
    <row r="14" spans="1:11" x14ac:dyDescent="0.2">
      <c r="A14" s="7"/>
      <c r="B14" s="7"/>
      <c r="C14" s="7"/>
      <c r="D14" s="7"/>
      <c r="E14" s="7"/>
      <c r="F14" s="7"/>
      <c r="G14" s="7"/>
      <c r="H14" s="7"/>
      <c r="I14" s="7"/>
      <c r="J14" s="22"/>
      <c r="K14" s="7"/>
    </row>
    <row r="15" spans="1:11" x14ac:dyDescent="0.2">
      <c r="A15" s="7"/>
      <c r="B15" s="7"/>
      <c r="C15" s="7"/>
      <c r="D15" s="7"/>
      <c r="E15" s="7"/>
      <c r="F15" s="7"/>
      <c r="G15" s="7"/>
      <c r="H15" s="7"/>
      <c r="I15" s="7"/>
      <c r="J15" s="22"/>
      <c r="K15" s="7"/>
    </row>
    <row r="16" spans="1:11" x14ac:dyDescent="0.2">
      <c r="A16" s="7"/>
      <c r="B16" s="7"/>
      <c r="C16" s="7"/>
      <c r="D16" s="7"/>
      <c r="E16" s="7"/>
      <c r="F16" s="7"/>
      <c r="G16" s="7"/>
      <c r="H16" s="7"/>
      <c r="I16" s="7"/>
      <c r="J16" s="22"/>
      <c r="K16" s="7"/>
    </row>
    <row r="17" spans="1:11" x14ac:dyDescent="0.2">
      <c r="A17" s="7"/>
      <c r="B17" s="7"/>
      <c r="C17" s="7"/>
      <c r="D17" s="7"/>
      <c r="E17" s="7"/>
      <c r="F17" s="7"/>
      <c r="G17" s="7"/>
      <c r="H17" s="7"/>
      <c r="I17" s="7"/>
      <c r="J17" s="22"/>
      <c r="K17" s="7"/>
    </row>
    <row r="18" spans="1:11" ht="34" x14ac:dyDescent="0.2">
      <c r="A18" s="12" t="s">
        <v>45</v>
      </c>
      <c r="B18" s="12" t="s">
        <v>46</v>
      </c>
      <c r="C18" s="7"/>
      <c r="D18" s="16" t="s">
        <v>47</v>
      </c>
      <c r="E18" s="12" t="s">
        <v>48</v>
      </c>
      <c r="F18" s="12" t="s">
        <v>49</v>
      </c>
      <c r="G18" s="12" t="s">
        <v>50</v>
      </c>
      <c r="H18" s="7"/>
      <c r="I18" s="12" t="s">
        <v>45</v>
      </c>
      <c r="J18" s="23" t="s">
        <v>46</v>
      </c>
      <c r="K18" s="7"/>
    </row>
    <row r="19" spans="1:11" ht="17" x14ac:dyDescent="0.2">
      <c r="A19" s="13" t="s">
        <v>51</v>
      </c>
      <c r="B19" s="14">
        <v>7</v>
      </c>
      <c r="C19" s="7"/>
      <c r="D19" s="17" t="s">
        <v>52</v>
      </c>
      <c r="E19" s="18">
        <v>190</v>
      </c>
      <c r="F19" s="19">
        <v>40</v>
      </c>
      <c r="G19" s="20">
        <f t="shared" ref="G19:G26" si="0">E19*F19</f>
        <v>7600</v>
      </c>
      <c r="H19" s="7"/>
      <c r="I19" s="13" t="s">
        <v>53</v>
      </c>
      <c r="J19" s="14">
        <f>G27</f>
        <v>87760</v>
      </c>
      <c r="K19" s="7"/>
    </row>
    <row r="20" spans="1:11" ht="17" x14ac:dyDescent="0.2">
      <c r="A20" s="13" t="s">
        <v>54</v>
      </c>
      <c r="B20" s="14">
        <v>1</v>
      </c>
      <c r="C20" s="7"/>
      <c r="D20" s="17" t="s">
        <v>55</v>
      </c>
      <c r="E20" s="18">
        <v>154</v>
      </c>
      <c r="F20" s="19">
        <v>40</v>
      </c>
      <c r="G20" s="20">
        <f t="shared" si="0"/>
        <v>6160</v>
      </c>
      <c r="H20" s="7"/>
      <c r="I20" s="13" t="s">
        <v>54</v>
      </c>
      <c r="J20" s="14">
        <v>1</v>
      </c>
      <c r="K20" s="7"/>
    </row>
    <row r="21" spans="1:11" ht="34" x14ac:dyDescent="0.2">
      <c r="A21" s="13" t="s">
        <v>56</v>
      </c>
      <c r="B21" s="14" t="s">
        <v>57</v>
      </c>
      <c r="C21" s="7"/>
      <c r="D21" s="17"/>
      <c r="E21" s="18"/>
      <c r="F21" s="19"/>
      <c r="G21" s="20"/>
      <c r="H21" s="7"/>
      <c r="I21" s="13" t="s">
        <v>58</v>
      </c>
      <c r="J21" s="14">
        <f>(B23*4)/B22</f>
        <v>6</v>
      </c>
      <c r="K21" s="7"/>
    </row>
    <row r="22" spans="1:11" ht="17" x14ac:dyDescent="0.2">
      <c r="A22" s="13" t="s">
        <v>59</v>
      </c>
      <c r="B22" s="14">
        <v>2</v>
      </c>
      <c r="C22" s="7"/>
      <c r="D22" s="17" t="s">
        <v>60</v>
      </c>
      <c r="E22" s="18">
        <v>105</v>
      </c>
      <c r="F22" s="19">
        <v>160</v>
      </c>
      <c r="G22" s="20">
        <f t="shared" si="0"/>
        <v>16800</v>
      </c>
      <c r="H22" s="7"/>
      <c r="I22" s="13" t="s">
        <v>61</v>
      </c>
      <c r="J22" s="21">
        <f>J19*J20*J21</f>
        <v>526560</v>
      </c>
      <c r="K22" s="7"/>
    </row>
    <row r="23" spans="1:11" ht="17" x14ac:dyDescent="0.2">
      <c r="A23" s="13" t="s">
        <v>62</v>
      </c>
      <c r="B23" s="14">
        <v>3</v>
      </c>
      <c r="C23" s="7"/>
      <c r="D23" s="17" t="s">
        <v>63</v>
      </c>
      <c r="E23" s="18">
        <v>120</v>
      </c>
      <c r="F23" s="19">
        <v>160</v>
      </c>
      <c r="G23" s="20">
        <f t="shared" si="0"/>
        <v>19200</v>
      </c>
      <c r="H23" s="7"/>
      <c r="I23" s="13" t="s">
        <v>64</v>
      </c>
      <c r="J23" s="21">
        <f>B24*J22</f>
        <v>0</v>
      </c>
      <c r="K23" s="7"/>
    </row>
    <row r="24" spans="1:11" ht="17" x14ac:dyDescent="0.2">
      <c r="A24" s="13" t="s">
        <v>65</v>
      </c>
      <c r="B24" s="15">
        <v>0</v>
      </c>
      <c r="C24" s="7"/>
      <c r="D24" s="17" t="s">
        <v>66</v>
      </c>
      <c r="E24" s="18">
        <v>105</v>
      </c>
      <c r="F24" s="19">
        <v>160</v>
      </c>
      <c r="G24" s="20">
        <f t="shared" si="0"/>
        <v>16800</v>
      </c>
      <c r="H24" s="7"/>
      <c r="I24" s="13" t="s">
        <v>67</v>
      </c>
      <c r="J24" s="21">
        <f>J22+J23</f>
        <v>526560</v>
      </c>
      <c r="K24" s="7"/>
    </row>
    <row r="25" spans="1:11" ht="17" x14ac:dyDescent="0.2">
      <c r="A25" s="7"/>
      <c r="B25" s="7"/>
      <c r="C25" s="7"/>
      <c r="D25" s="17" t="s">
        <v>68</v>
      </c>
      <c r="E25" s="18">
        <v>149</v>
      </c>
      <c r="F25" s="19">
        <v>80</v>
      </c>
      <c r="G25" s="20">
        <f t="shared" si="0"/>
        <v>11920</v>
      </c>
      <c r="H25" s="7"/>
      <c r="I25" s="7"/>
      <c r="J25" s="22"/>
      <c r="K25" s="7"/>
    </row>
    <row r="26" spans="1:11" ht="17" x14ac:dyDescent="0.2">
      <c r="A26" s="7"/>
      <c r="B26" s="7"/>
      <c r="C26" s="7"/>
      <c r="D26" s="17" t="s">
        <v>69</v>
      </c>
      <c r="E26" s="18">
        <v>116</v>
      </c>
      <c r="F26" s="19">
        <v>80</v>
      </c>
      <c r="G26" s="20">
        <f t="shared" si="0"/>
        <v>9280</v>
      </c>
      <c r="H26" s="7"/>
      <c r="I26" s="7"/>
      <c r="J26" s="22"/>
      <c r="K26" s="7"/>
    </row>
    <row r="27" spans="1:11" x14ac:dyDescent="0.2">
      <c r="A27" s="7"/>
      <c r="B27" s="7"/>
      <c r="C27" s="7"/>
      <c r="D27" s="17"/>
      <c r="E27" s="14"/>
      <c r="F27" s="14"/>
      <c r="G27" s="20">
        <f>SUM(G19:G26)</f>
        <v>87760</v>
      </c>
      <c r="H27" s="7"/>
      <c r="I27" s="7"/>
      <c r="J27" s="22"/>
      <c r="K27" s="7"/>
    </row>
    <row r="28" spans="1:11" x14ac:dyDescent="0.2">
      <c r="A28" s="7"/>
      <c r="B28" s="7"/>
      <c r="C28" s="7"/>
      <c r="D28" s="9" t="s">
        <v>70</v>
      </c>
      <c r="E28" s="10"/>
      <c r="F28" s="11"/>
      <c r="G28" s="7"/>
      <c r="H28" s="7"/>
      <c r="I28" s="7"/>
      <c r="J28" s="22"/>
      <c r="K28" s="7"/>
    </row>
    <row r="29" spans="1:11" x14ac:dyDescent="0.2">
      <c r="A29" s="7"/>
      <c r="B29" s="7"/>
      <c r="C29" s="7"/>
      <c r="D29" s="7"/>
      <c r="E29" s="7"/>
      <c r="F29" s="7"/>
      <c r="G29" s="7"/>
      <c r="H29" s="7"/>
      <c r="I29" s="7"/>
      <c r="J29" s="22"/>
      <c r="K29" s="7"/>
    </row>
    <row r="30" spans="1:11" x14ac:dyDescent="0.2">
      <c r="A30" s="7"/>
      <c r="B30" s="7"/>
      <c r="C30" s="7"/>
      <c r="D30" s="7"/>
      <c r="E30" s="7"/>
      <c r="F30" s="7"/>
      <c r="G30" s="7"/>
      <c r="H30" s="7"/>
      <c r="I30" s="7"/>
      <c r="J30" s="22"/>
      <c r="K30" s="7"/>
    </row>
  </sheetData>
  <hyperlinks>
    <hyperlink ref="D28" r:id="rId1" display="Contractor-Awarded Labor Category (CALC)" xr:uid="{00000000-0004-0000-0100-000000000000}"/>
    <hyperlink ref="D28:F28" r:id="rId2" display="* Use the Contractor-Awarded Labor Category (CALC) to find labor categories and rates" xr:uid="{00000000-0004-0000-0100-000001000000}"/>
  </hyperlinks>
  <pageMargins left="0.7" right="0.7" top="0.75" bottom="0.75" header="0.3" footer="0.3"/>
  <pageSetup scale="59" orientation="landscape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657BC3A320A64DBC0174C854891A2B" ma:contentTypeVersion="8" ma:contentTypeDescription="Create a new document." ma:contentTypeScope="" ma:versionID="422faec1203d8b3d33d7ab0df2a8226b">
  <xsd:schema xmlns:xsd="http://www.w3.org/2001/XMLSchema" xmlns:xs="http://www.w3.org/2001/XMLSchema" xmlns:p="http://schemas.microsoft.com/office/2006/metadata/properties" xmlns:ns2="8fe7129c-05b9-4a3e-a25e-8288bb848bba" xmlns:ns3="c9253d2d-77f7-43a7-9984-d1c28964d02a" targetNamespace="http://schemas.microsoft.com/office/2006/metadata/properties" ma:root="true" ma:fieldsID="40449f9b536c9750a13254d9f81a2226" ns2:_="" ns3:_="">
    <xsd:import namespace="8fe7129c-05b9-4a3e-a25e-8288bb848bba"/>
    <xsd:import namespace="c9253d2d-77f7-43a7-9984-d1c28964d0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Complete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7129c-05b9-4a3e-a25e-8288bb848b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plete" ma:index="11" nillable="true" ma:displayName="Complete" ma:description="Yes means this category is complete" ma:format="Dropdown" ma:internalName="Complete">
      <xsd:simpleType>
        <xsd:restriction base="dms:Text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53d2d-77f7-43a7-9984-d1c28964d02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cae6912-d4eb-49b0-a14a-79ef937271a6}" ma:internalName="TaxCatchAll" ma:showField="CatchAllData" ma:web="c9253d2d-77f7-43a7-9984-d1c28964d0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plete xmlns="8fe7129c-05b9-4a3e-a25e-8288bb848bba" xsi:nil="true"/>
    <lcf76f155ced4ddcb4097134ff3c332f xmlns="8fe7129c-05b9-4a3e-a25e-8288bb848bba">
      <Terms xmlns="http://schemas.microsoft.com/office/infopath/2007/PartnerControls"/>
    </lcf76f155ced4ddcb4097134ff3c332f>
    <TaxCatchAll xmlns="c9253d2d-77f7-43a7-9984-d1c28964d02a" xsi:nil="true"/>
  </documentManagement>
</p:properties>
</file>

<file path=customXml/itemProps1.xml><?xml version="1.0" encoding="utf-8"?>
<ds:datastoreItem xmlns:ds="http://schemas.openxmlformats.org/officeDocument/2006/customXml" ds:itemID="{82967612-5B84-4BE8-9B45-9EC5441513CE}"/>
</file>

<file path=customXml/itemProps2.xml><?xml version="1.0" encoding="utf-8"?>
<ds:datastoreItem xmlns:ds="http://schemas.openxmlformats.org/officeDocument/2006/customXml" ds:itemID="{7D6696F2-7790-44C3-A1D6-B98DBF0D9EF2}"/>
</file>

<file path=customXml/itemProps3.xml><?xml version="1.0" encoding="utf-8"?>
<ds:datastoreItem xmlns:ds="http://schemas.openxmlformats.org/officeDocument/2006/customXml" ds:itemID="{042D58D4-E4C7-4B6D-80E7-673A852077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HHS IGCE</vt:lpstr>
      <vt:lpstr>Agile Estimator</vt:lpstr>
      <vt:lpstr>'HHS IGCE'!Print_Area</vt:lpstr>
      <vt:lpstr>'HHS IGCE'!Print_Titles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Information about IGCE Worksheet</dc:title>
  <dc:subject>Independent Government Cost Estimate</dc:subject>
  <dc:creator>HHS/ASFR</dc:creator>
  <cp:keywords>estimate costs, government, contract</cp:keywords>
  <dc:description>This template can be modified based on the contract type (i.e. Firm Fixed Price, Time and Materials, and Cost Reimburesment)</dc:description>
  <cp:lastModifiedBy>Schweinsberg, Elizabeth (CMS/OIT)</cp:lastModifiedBy>
  <cp:revision/>
  <dcterms:created xsi:type="dcterms:W3CDTF">1998-11-19T22:17:22Z</dcterms:created>
  <dcterms:modified xsi:type="dcterms:W3CDTF">2025-06-26T19:16:04Z</dcterms:modified>
  <cp:category/>
  <cp:contentStatus>Web version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0x010100E4657BC3A320A64DBC0174C854891A2B</vt:lpwstr>
  </property>
</Properties>
</file>